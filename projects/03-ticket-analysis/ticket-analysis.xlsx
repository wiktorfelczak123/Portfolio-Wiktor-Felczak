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3c0992f96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74d10de1ad497e"/>
    <x:sheet xmlns:r="http://schemas.openxmlformats.org/officeDocument/2006/relationships" name="Tickets" sheetId="2" r:id="Re3d67dddfe9c4be2"/>
    <x:sheet xmlns:r="http://schemas.openxmlformats.org/officeDocument/2006/relationships" name="Data dictionary" sheetId="3" r:id="Rdc0ad0257adf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yyyy-mm-dd"/>
  </x:numFmts>
  <x:fonts count="9">
    <x:font>
      <x:sz val="11"/>
      <x:name val="Carlito"/>
    </x:font>
    <x:font>
      <x:sz val="10"/>
      <x:color rgb="FF2D3741"/>
      <x:name val="Arial"/>
    </x:font>
    <x:font>
      <x:b/>
      <x:sz val="16"/>
      <x:color rgb="FF1D3345"/>
      <x:name val="Arial"/>
    </x:font>
    <x:font>
      <x:i/>
      <x:sz val="9"/>
      <x:color rgb="FF52606D"/>
      <x:name val="Arial"/>
    </x:font>
    <x:font>
      <x:b/>
      <x:sz val="10"/>
      <x:color rgb="FF1D3345"/>
      <x:name val="Arial"/>
    </x:font>
    <x:font>
      <x:b/>
      <x:sz val="15"/>
      <x:color rgb="FF167D91"/>
      <x:name val="Arial"/>
    </x:font>
    <x:font>
      <x:b/>
      <x:sz val="9"/>
      <x:color rgb="FFFFFFFF"/>
      <x:name val="Arial"/>
    </x:font>
    <x:font>
      <x:sz val="9"/>
      <x:color rgb="FF2D374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3F6"/>
      </x:patternFill>
    </x:fill>
    <x:fill>
      <x:patternFill patternType="solid">
        <x:fgColor rgb="FF1D3345"/>
      </x:patternFill>
    </x:fill>
  </x:fills>
  <x:borders count="9">
    <x:border>
      <x:left/>
      <x:right/>
      <x:top/>
      <x:bottom/>
      <x:diagonal/>
    </x:border>
    <x:border>
      <x:left style="thin">
        <x:color rgb="FFD6DEE3"/>
      </x:left>
      <x:right/>
      <x:top style="thin">
        <x:color rgb="FFD6DEE3"/>
      </x:top>
      <x:bottom/>
      <x:diagonal/>
    </x:border>
    <x:border>
      <x:left/>
      <x:right/>
      <x:top style="thin">
        <x:color rgb="FFD6DEE3"/>
      </x:top>
      <x:bottom/>
      <x:diagonal/>
    </x:border>
    <x:border>
      <x:left/>
      <x:right style="thin">
        <x:color rgb="FFD6DEE3"/>
      </x:right>
      <x:top style="thin">
        <x:color rgb="FFD6DEE3"/>
      </x:top>
      <x:bottom/>
      <x:diagonal/>
    </x:border>
    <x:border>
      <x:left style="thin">
        <x:color rgb="FFD6DEE3"/>
      </x:left>
      <x:right/>
      <x:top/>
      <x:bottom/>
      <x:diagonal/>
    </x:border>
    <x:border>
      <x:left/>
      <x:right style="thin">
        <x:color rgb="FFD6DEE3"/>
      </x:right>
      <x:top/>
      <x:bottom/>
      <x:diagonal/>
    </x:border>
    <x:border>
      <x:left style="thin">
        <x:color rgb="FFD6DEE3"/>
      </x:left>
      <x:right/>
      <x:top/>
      <x:bottom style="thin">
        <x:color rgb="FFD6DEE3"/>
      </x:bottom>
      <x:diagonal/>
    </x:border>
    <x:border>
      <x:left/>
      <x:right/>
      <x:top/>
      <x:bottom style="thin">
        <x:color rgb="FFD6DEE3"/>
      </x:bottom>
      <x:diagonal/>
    </x:border>
    <x:border>
      <x:left/>
      <x:right style="thin">
        <x:color rgb="FFD6DEE3"/>
      </x:right>
      <x:top/>
      <x:bottom style="thin">
        <x:color rgb="FFD6DEE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202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d35cbe7084556" /><Relationship Type="http://schemas.openxmlformats.org/officeDocument/2006/relationships/theme" Target="/xl/theme/theme1.xml" Id="R17d5341495cd40d3" /><Relationship Type="http://schemas.openxmlformats.org/officeDocument/2006/relationships/sharedStrings" Target="/xl/sharedStrings.xml" Id="Rfc50d0f077494202" /><Relationship Type="http://schemas.openxmlformats.org/officeDocument/2006/relationships/worksheet" Target="/xl/worksheets/sheet1.xml" Id="R3474d10de1ad497e" /><Relationship Type="http://schemas.openxmlformats.org/officeDocument/2006/relationships/worksheet" Target="/xl/worksheets/sheet2.xml" Id="Re3d67dddfe9c4be2" /><Relationship Type="http://schemas.openxmlformats.org/officeDocument/2006/relationships/worksheet" Target="/xl/worksheets/sheet3.xml" Id="Rdc0ad0257adf4c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f49ed5b4da45db" /><Relationship Type="http://schemas.openxmlformats.org/officeDocument/2006/relationships/chart" Target="/xl/drawings/charts/chart2.xml" Id="R3302d6c86e8947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Zgłoszenia według kategorii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Zgłoszenia</c:v>
          </c:tx>
          <c:invertIfNegative val="0"/>
          <c:cat>
            <c:strRef>
              <c:f>'Summary'!$A$10:$A$15</c:f>
              <c:strCache>
                <c:ptCount val="0"/>
              </c:strCache>
            </c:strRef>
          </c:cat>
          <c:val>
            <c:numRef>
              <c:f>'Summary'!$B$10:$B$15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Eskalacje w kolejnych miesiącach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Eskalacje</c:v>
          </c:tx>
          <c:marker>
            <c:symbol val="none"/>
          </c:marker>
          <c:cat>
            <c:strRef>
              <c:f>'Summary'!$H$10:$H$13</c:f>
              <c:strCache>
                <c:ptCount val="0"/>
              </c:strCache>
            </c:strRef>
          </c:cat>
          <c:val>
            <c:numRef>
              <c:f>'Summary'!$J$10:$J$13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49ed5b4da45db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02d6c86e8947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50209f9555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3" hidden="0" customWidth="1"/>
    <x:col min="4" max="4" width="15" hidden="0" customWidth="1"/>
    <x:col min="5" max="5" width="19" hidden="0" customWidth="1"/>
    <x:col min="6" max="6" width="14" hidden="0" customWidth="1"/>
    <x:col min="7" max="7" width="19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7" customHeight="1">
      <x:c r="A1" s="2" t="str">
        <x:v>Analiza zgłoszeń wsparcia – dane syntetyczne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9" customHeight="1">
      <x:c r="A2" s="4" t="str">
        <x:v>Projekt demonstracyjny. Wszystkie rekordy są syntetyczne i nie opisują rzeczywistego zespołu wsparcia.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6" t="str">
        <x:v>Liczba zgłoszeń</x:v>
      </x:c>
      <x:c r="B4" s="6"/>
      <x:c r="C4" s="6" t="str">
        <x:v>Eskalowane</x:v>
      </x:c>
      <x:c r="D4" s="6"/>
      <x:c r="E4" s="6" t="str">
        <x:v>Udział eskalacji</x:v>
      </x:c>
      <x:c r="F4" s="6"/>
      <x:c r="G4" s="6" t="str">
        <x:v>Mediana (h)</x:v>
      </x:c>
      <x:c r="H4" s="6"/>
      <x:c r="I4" s="1"/>
      <x:c r="J4" s="1"/>
      <x:c r="K4" s="1"/>
      <x:c r="L4" s="1"/>
      <x:c r="M4" s="1"/>
      <x:c r="N4" s="1"/>
    </x:row>
    <x:row r="5">
      <x:c r="A5" s="8" t="n">
        <x:f>COUNTA(Tickets!$A$2:$A$121)</x:f>
        <x:v>120</x:v>
      </x:c>
      <x:c r="B5" s="8"/>
      <x:c r="C5" s="8" t="n">
        <x:f>COUNTIF(Tickets!$H$2:$H$121,"Yes")</x:f>
        <x:v>29</x:v>
      </x:c>
      <x:c r="D5" s="8"/>
      <x:c r="E5" s="9" t="n">
        <x:f>IFERROR(C5/A5,0)</x:f>
        <x:v>0.24166666666666667</x:v>
      </x:c>
      <x:c r="F5" s="8"/>
      <x:c r="G5" s="10" t="n">
        <x:f>MEDIAN(Tickets!$G$2:$G$121)</x:f>
        <x:v>24.4</x:v>
      </x:c>
      <x:c r="H5" s="8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6" customHeight="1">
      <x:c r="A9" s="20" t="str">
        <x:v>Kategoria</x:v>
      </x:c>
      <x:c r="B9" s="21" t="str">
        <x:v>Zgłoszenia</x:v>
      </x:c>
      <x:c r="C9" s="21" t="str">
        <x:v>Eskalacje</x:v>
      </x:c>
      <x:c r="D9" s="21" t="str">
        <x:v>Udział eskalacji</x:v>
      </x:c>
      <x:c r="E9" s="21" t="str">
        <x:v>Śr. rozwiązania (h)</x:v>
      </x:c>
      <x:c r="F9" s="22" t="str">
        <x:v>Powtarzalne</x:v>
      </x:c>
      <x:c r="G9" s="1"/>
      <x:c r="H9" s="20" t="str">
        <x:v>Miesiąc</x:v>
      </x:c>
      <x:c r="I9" s="21" t="str">
        <x:v>Zgłoszenia</x:v>
      </x:c>
      <x:c r="J9" s="22" t="str">
        <x:v>Eskalacje</x:v>
      </x:c>
      <x:c r="K9" s="1"/>
      <x:c r="L9" s="1"/>
      <x:c r="M9" s="1"/>
      <x:c r="N9" s="1"/>
    </x:row>
    <x:row r="10" ht="20" customHeight="1">
      <x:c r="A10" s="23" t="str">
        <x:v>Dostęp</x:v>
      </x:c>
      <x:c r="B10" s="17" t="n">
        <x:f>COUNTIF(Tickets!$C$2:$C$121,A10)</x:f>
        <x:v>17</x:v>
      </x:c>
      <x:c r="C10" s="17" t="n">
        <x:f>COUNTIFS(Tickets!$C$2:$C$121,A10,Tickets!$H$2:$H$121,"Yes")</x:f>
        <x:v>3</x:v>
      </x:c>
      <x:c r="D10" s="18" t="n">
        <x:f>IFERROR(C10/B10,0)</x:f>
        <x:v>0.17647058823529413</x:v>
      </x:c>
      <x:c r="E10" s="19" t="n">
        <x:f>IFERROR(SUMIFS(Tickets!$G$2:$G$121,Tickets!$C$2:$C$121,A10,Tickets!$J$2:$J$121,"Closed")/COUNTIFS(Tickets!$C$2:$C$121,A10,Tickets!$J$2:$J$121,"Closed"),0)</x:f>
        <x:v>26.10625</x:v>
      </x:c>
      <x:c r="F10" s="24" t="n">
        <x:f>COUNTIFS(Tickets!$C$2:$C$121,A10,Tickets!$I$2:$I$121,"Yes")</x:f>
        <x:v>6</x:v>
      </x:c>
      <x:c r="G10" s="1"/>
      <x:c r="H10" s="23" t="str">
        <x:v>Sty 2026</x:v>
      </x:c>
      <x:c r="I10" s="17" t="n">
        <x:f>COUNTIFS(Tickets!$B$2:$B$121,"&gt;="&amp;DATE(2026,1,1),Tickets!$B$2:$B$121,"&lt;"&amp;DATE(2026,2,1))</x:f>
        <x:v>30</x:v>
      </x:c>
      <x:c r="J10" s="24" t="n">
        <x:f>COUNTIFS(Tickets!$B$2:$B$121,"&gt;="&amp;DATE(2026,1,1),Tickets!$B$2:$B$121,"&lt;"&amp;DATE(2026,2,1),Tickets!$H$2:$H$121,"Yes")</x:f>
        <x:v>8</x:v>
      </x:c>
      <x:c r="K10" s="1"/>
      <x:c r="L10" s="1"/>
      <x:c r="M10" s="1"/>
      <x:c r="N10" s="1"/>
    </x:row>
    <x:row r="11" ht="20" customHeight="1">
      <x:c r="A11" s="23" t="str">
        <x:v>Płatności</x:v>
      </x:c>
      <x:c r="B11" s="17" t="n">
        <x:f>COUNTIF(Tickets!$C$2:$C$121,A11)</x:f>
        <x:v>21</x:v>
      </x:c>
      <x:c r="C11" s="17" t="n">
        <x:f>COUNTIFS(Tickets!$C$2:$C$121,A11,Tickets!$H$2:$H$121,"Yes")</x:f>
        <x:v>7</x:v>
      </x:c>
      <x:c r="D11" s="18" t="n">
        <x:f>IFERROR(C11/B11,0)</x:f>
        <x:v>0.3333333333333333</x:v>
      </x:c>
      <x:c r="E11" s="19" t="n">
        <x:f>IFERROR(SUMIFS(Tickets!$G$2:$G$121,Tickets!$C$2:$C$121,A11,Tickets!$J$2:$J$121,"Closed")/COUNTIFS(Tickets!$C$2:$C$121,A11,Tickets!$J$2:$J$121,"Closed"),0)</x:f>
        <x:v>23.010526315789473</x:v>
      </x:c>
      <x:c r="F11" s="24" t="n">
        <x:f>COUNTIFS(Tickets!$C$2:$C$121,A11,Tickets!$I$2:$I$121,"Yes")</x:f>
        <x:v>5</x:v>
      </x:c>
      <x:c r="G11" s="1"/>
      <x:c r="H11" s="23" t="str">
        <x:v>Lut 2026</x:v>
      </x:c>
      <x:c r="I11" s="17" t="n">
        <x:f>COUNTIFS(Tickets!$B$2:$B$121,"&gt;="&amp;DATE(2026,2,1),Tickets!$B$2:$B$121,"&lt;"&amp;DATE(2026,3,1))</x:f>
        <x:v>30</x:v>
      </x:c>
      <x:c r="J11" s="24" t="n">
        <x:f>COUNTIFS(Tickets!$B$2:$B$121,"&gt;="&amp;DATE(2026,2,1),Tickets!$B$2:$B$121,"&lt;"&amp;DATE(2026,3,1),Tickets!$H$2:$H$121,"Yes")</x:f>
        <x:v>8</x:v>
      </x:c>
      <x:c r="K11" s="1"/>
      <x:c r="L11" s="1"/>
      <x:c r="M11" s="1"/>
      <x:c r="N11" s="1"/>
    </x:row>
    <x:row r="12" ht="20" customHeight="1">
      <x:c r="A12" s="23" t="str">
        <x:v>Integracja</x:v>
      </x:c>
      <x:c r="B12" s="17" t="n">
        <x:f>COUNTIF(Tickets!$C$2:$C$121,A12)</x:f>
        <x:v>27</x:v>
      </x:c>
      <x:c r="C12" s="17" t="n">
        <x:f>COUNTIFS(Tickets!$C$2:$C$121,A12,Tickets!$H$2:$H$121,"Yes")</x:f>
        <x:v>6</x:v>
      </x:c>
      <x:c r="D12" s="18" t="n">
        <x:f>IFERROR(C12/B12,0)</x:f>
        <x:v>0.2222222222222222</x:v>
      </x:c>
      <x:c r="E12" s="19" t="n">
        <x:f>IFERROR(SUMIFS(Tickets!$G$2:$G$121,Tickets!$C$2:$C$121,A12,Tickets!$J$2:$J$121,"Closed")/COUNTIFS(Tickets!$C$2:$C$121,A12,Tickets!$J$2:$J$121,"Closed"),0)</x:f>
        <x:v>26.883333333333336</x:v>
      </x:c>
      <x:c r="F12" s="24" t="n">
        <x:f>COUNTIFS(Tickets!$C$2:$C$121,A12,Tickets!$I$2:$I$121,"Yes")</x:f>
        <x:v>10</x:v>
      </x:c>
      <x:c r="G12" s="1"/>
      <x:c r="H12" s="23" t="str">
        <x:v>Mar 2026</x:v>
      </x:c>
      <x:c r="I12" s="17" t="n">
        <x:f>COUNTIFS(Tickets!$B$2:$B$121,"&gt;="&amp;DATE(2026,3,1),Tickets!$B$2:$B$121,"&lt;"&amp;DATE(2026,4,1))</x:f>
        <x:v>30</x:v>
      </x:c>
      <x:c r="J12" s="24" t="n">
        <x:f>COUNTIFS(Tickets!$B$2:$B$121,"&gt;="&amp;DATE(2026,3,1),Tickets!$B$2:$B$121,"&lt;"&amp;DATE(2026,4,1),Tickets!$H$2:$H$121,"Yes")</x:f>
        <x:v>9</x:v>
      </x:c>
      <x:c r="K12" s="1"/>
      <x:c r="L12" s="1"/>
      <x:c r="M12" s="1"/>
      <x:c r="N12" s="1"/>
    </x:row>
    <x:row r="13" ht="20" customHeight="1">
      <x:c r="A13" s="23" t="str">
        <x:v>Aplikacja mobilna</x:v>
      </x:c>
      <x:c r="B13" s="17" t="n">
        <x:f>COUNTIF(Tickets!$C$2:$C$121,A13)</x:f>
        <x:v>18</x:v>
      </x:c>
      <x:c r="C13" s="17" t="n">
        <x:f>COUNTIFS(Tickets!$C$2:$C$121,A13,Tickets!$H$2:$H$121,"Yes")</x:f>
        <x:v>5</x:v>
      </x:c>
      <x:c r="D13" s="18" t="n">
        <x:f>IFERROR(C13/B13,0)</x:f>
        <x:v>0.2777777777777778</x:v>
      </x:c>
      <x:c r="E13" s="19" t="n">
        <x:f>IFERROR(SUMIFS(Tickets!$G$2:$G$121,Tickets!$C$2:$C$121,A13,Tickets!$J$2:$J$121,"Closed")/COUNTIFS(Tickets!$C$2:$C$121,A13,Tickets!$J$2:$J$121,"Closed"),0)</x:f>
        <x:v>23.461111111111116</x:v>
      </x:c>
      <x:c r="F13" s="24" t="n">
        <x:f>COUNTIFS(Tickets!$C$2:$C$121,A13,Tickets!$I$2:$I$121,"Yes")</x:f>
        <x:v>5</x:v>
      </x:c>
      <x:c r="G13" s="1"/>
      <x:c r="H13" s="25" t="str">
        <x:v>Kwi 2026</x:v>
      </x:c>
      <x:c r="I13" s="26" t="n">
        <x:f>COUNTIFS(Tickets!$B$2:$B$121,"&gt;="&amp;DATE(2026,4,1),Tickets!$B$2:$B$121,"&lt;"&amp;DATE(2026,5,1))</x:f>
        <x:v>30</x:v>
      </x:c>
      <x:c r="J13" s="29" t="n">
        <x:f>COUNTIFS(Tickets!$B$2:$B$121,"&gt;="&amp;DATE(2026,4,1),Tickets!$B$2:$B$121,"&lt;"&amp;DATE(2026,5,1),Tickets!$H$2:$H$121,"Yes")</x:f>
        <x:v>4</x:v>
      </x:c>
      <x:c r="K13" s="1"/>
      <x:c r="L13" s="1"/>
      <x:c r="M13" s="1"/>
      <x:c r="N13" s="1"/>
    </x:row>
    <x:row r="14" ht="20" customHeight="1">
      <x:c r="A14" s="23" t="str">
        <x:v>Raporty</x:v>
      </x:c>
      <x:c r="B14" s="17" t="n">
        <x:f>COUNTIF(Tickets!$C$2:$C$121,A14)</x:f>
        <x:v>21</x:v>
      </x:c>
      <x:c r="C14" s="17" t="n">
        <x:f>COUNTIFS(Tickets!$C$2:$C$121,A14,Tickets!$H$2:$H$121,"Yes")</x:f>
        <x:v>5</x:v>
      </x:c>
      <x:c r="D14" s="18" t="n">
        <x:f>IFERROR(C14/B14,0)</x:f>
        <x:v>0.23809523809523808</x:v>
      </x:c>
      <x:c r="E14" s="19" t="n">
        <x:f>IFERROR(SUMIFS(Tickets!$G$2:$G$121,Tickets!$C$2:$C$121,A14,Tickets!$J$2:$J$121,"Closed")/COUNTIFS(Tickets!$C$2:$C$121,A14,Tickets!$J$2:$J$121,"Closed"),0)</x:f>
        <x:v>20.14210526315789</x:v>
      </x:c>
      <x:c r="F14" s="24" t="n">
        <x:f>COUNTIFS(Tickets!$C$2:$C$121,A14,Tickets!$I$2:$I$121,"Yes")</x:f>
        <x:v>5</x:v>
      </x:c>
      <x:c r="G14" s="1"/>
      <x:c r="H14" s="1"/>
      <x:c r="I14" s="1"/>
      <x:c r="J14" s="1"/>
      <x:c r="K14" s="1"/>
      <x:c r="L14" s="1"/>
      <x:c r="M14" s="1"/>
      <x:c r="N14" s="1"/>
    </x:row>
    <x:row r="15" ht="20" customHeight="1">
      <x:c r="A15" s="25" t="str">
        <x:v>Konto użytkownika</x:v>
      </x:c>
      <x:c r="B15" s="26" t="n">
        <x:f>COUNTIF(Tickets!$C$2:$C$121,A15)</x:f>
        <x:v>16</x:v>
      </x:c>
      <x:c r="C15" s="26" t="n">
        <x:f>COUNTIFS(Tickets!$C$2:$C$121,A15,Tickets!$H$2:$H$121,"Yes")</x:f>
        <x:v>3</x:v>
      </x:c>
      <x:c r="D15" s="27" t="n">
        <x:f>IFERROR(C15/B15,0)</x:f>
        <x:v>0.1875</x:v>
      </x:c>
      <x:c r="E15" s="28" t="n">
        <x:f>IFERROR(SUMIFS(Tickets!$G$2:$G$121,Tickets!$C$2:$C$121,A15,Tickets!$J$2:$J$121,"Closed")/COUNTIFS(Tickets!$C$2:$C$121,A15,Tickets!$J$2:$J$121,"Closed"),0)</x:f>
        <x:v>24.033333333333328</x:v>
      </x:c>
      <x:c r="F15" s="29" t="n">
        <x:f>COUNTIFS(Tickets!$C$2:$C$121,A15,Tickets!$I$2:$I$121,"Yes")</x:f>
        <x:v>4</x:v>
      </x:c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</x:sheetData>
  <x:pageMargins left="0.7" right="0.7" top="0.75" bottom="0.75" header="0.3" footer="0.3"/>
  <x:drawing xmlns:r="http://schemas.openxmlformats.org/officeDocument/2006/relationships" r:id="R9650209f95554e56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9" hidden="0" customWidth="1"/>
    <x:col min="4" max="4" width="13" hidden="0" customWidth="1"/>
    <x:col min="5" max="5" width="13" hidden="0" customWidth="1"/>
    <x:col min="6" max="6" width="13" hidden="0" customWidth="1"/>
    <x:col min="7" max="7" width="19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30" customHeight="1">
      <x:c r="A1" s="34" t="str">
        <x:v>Ticket_ID</x:v>
      </x:c>
      <x:c r="B1" s="34" t="str">
        <x:v>Opened_Date</x:v>
      </x:c>
      <x:c r="C1" s="34" t="str">
        <x:v>Category</x:v>
      </x:c>
      <x:c r="D1" s="34" t="str">
        <x:v>Channel</x:v>
      </x:c>
      <x:c r="E1" s="34" t="str">
        <x:v>Priority</x:v>
      </x:c>
      <x:c r="F1" s="34" t="str">
        <x:v>Severity</x:v>
      </x:c>
      <x:c r="G1" s="34" t="str">
        <x:v>Resolution_Hours</x:v>
      </x:c>
      <x:c r="H1" s="34" t="str">
        <x:v>Escalated</x:v>
      </x:c>
      <x:c r="I1" s="34" t="str">
        <x:v>Repeat_Issue</x:v>
      </x:c>
      <x:c r="J1" s="34" t="str">
        <x:v>Status</x:v>
      </x:c>
      <x:c r="K1" s="34" t="str">
        <x:v>Queue</x:v>
      </x:c>
    </x:row>
    <x:row r="2">
      <x:c r="A2" s="17" t="str">
        <x:v>T-0001</x:v>
      </x:c>
      <x:c r="B2" s="35" t="d">
        <x:v>2026-01-19T00:00:00.000Z</x:v>
      </x:c>
      <x:c r="C2" s="17" t="str">
        <x:v>Aplikacja mobilna</x:v>
      </x:c>
      <x:c r="D2" s="17" t="str">
        <x:v>Portal</x:v>
      </x:c>
      <x:c r="E2" s="17" t="str">
        <x:v>P4</x:v>
      </x:c>
      <x:c r="F2" s="17" t="str">
        <x:v>Low</x:v>
      </x:c>
      <x:c r="G2" s="19" t="n">
        <x:v>40.2</x:v>
      </x:c>
      <x:c r="H2" s="17" t="str">
        <x:v>No</x:v>
      </x:c>
      <x:c r="I2" s="17" t="str">
        <x:v>No</x:v>
      </x:c>
      <x:c r="J2" s="17" t="str">
        <x:v>Closed</x:v>
      </x:c>
      <x:c r="K2" s="17" t="str">
        <x:v>L2</x:v>
      </x:c>
    </x:row>
    <x:row r="3">
      <x:c r="A3" s="17" t="str">
        <x:v>T-0002</x:v>
      </x:c>
      <x:c r="B3" s="35" t="d">
        <x:v>2026-02-01T00:00:00.000Z</x:v>
      </x:c>
      <x:c r="C3" s="17" t="str">
        <x:v>Raporty</x:v>
      </x:c>
      <x:c r="D3" s="17" t="str">
        <x:v>Portal</x:v>
      </x:c>
      <x:c r="E3" s="17" t="str">
        <x:v>P2</x:v>
      </x:c>
      <x:c r="F3" s="17" t="str">
        <x:v>High</x:v>
      </x:c>
      <x:c r="G3" s="19" t="n">
        <x:v>18.6</x:v>
      </x:c>
      <x:c r="H3" s="17" t="str">
        <x:v>Yes</x:v>
      </x:c>
      <x:c r="I3" s="17" t="str">
        <x:v>No</x:v>
      </x:c>
      <x:c r="J3" s="17" t="str">
        <x:v>Closed</x:v>
      </x:c>
      <x:c r="K3" s="17" t="str">
        <x:v>L2</x:v>
      </x:c>
    </x:row>
    <x:row r="4">
      <x:c r="A4" s="17" t="str">
        <x:v>T-0003</x:v>
      </x:c>
      <x:c r="B4" s="35" t="d">
        <x:v>2026-03-11T00:00:00.000Z</x:v>
      </x:c>
      <x:c r="C4" s="17" t="str">
        <x:v>Aplikacja mobilna</x:v>
      </x:c>
      <x:c r="D4" s="17" t="str">
        <x:v>Portal</x:v>
      </x:c>
      <x:c r="E4" s="17" t="str">
        <x:v>P2</x:v>
      </x:c>
      <x:c r="F4" s="17" t="str">
        <x:v>High</x:v>
      </x:c>
      <x:c r="G4" s="19" t="n">
        <x:v>17.3</x:v>
      </x:c>
      <x:c r="H4" s="17" t="str">
        <x:v>Yes</x:v>
      </x:c>
      <x:c r="I4" s="17" t="str">
        <x:v>Yes</x:v>
      </x:c>
      <x:c r="J4" s="17" t="str">
        <x:v>Closed</x:v>
      </x:c>
      <x:c r="K4" s="17" t="str">
        <x:v>L2</x:v>
      </x:c>
    </x:row>
    <x:row r="5">
      <x:c r="A5" s="17" t="str">
        <x:v>T-0004</x:v>
      </x:c>
      <x:c r="B5" s="35" t="d">
        <x:v>2026-04-01T00:00:00.000Z</x:v>
      </x:c>
      <x:c r="C5" s="17" t="str">
        <x:v>Integracja</x:v>
      </x:c>
      <x:c r="D5" s="17" t="str">
        <x:v>E-mail</x:v>
      </x:c>
      <x:c r="E5" s="17" t="str">
        <x:v>P4</x:v>
      </x:c>
      <x:c r="F5" s="17" t="str">
        <x:v>Low</x:v>
      </x:c>
      <x:c r="G5" s="19" t="n">
        <x:v>39.6</x:v>
      </x:c>
      <x:c r="H5" s="17" t="str">
        <x:v>No</x:v>
      </x:c>
      <x:c r="I5" s="17" t="str">
        <x:v>Yes</x:v>
      </x:c>
      <x:c r="J5" s="17" t="str">
        <x:v>Closed</x:v>
      </x:c>
      <x:c r="K5" s="17" t="str">
        <x:v>L2</x:v>
      </x:c>
    </x:row>
    <x:row r="6">
      <x:c r="A6" s="17" t="str">
        <x:v>T-0005</x:v>
      </x:c>
      <x:c r="B6" s="35" t="d">
        <x:v>2026-01-20T00:00:00.000Z</x:v>
      </x:c>
      <x:c r="C6" s="17" t="str">
        <x:v>Konto użytkownika</x:v>
      </x:c>
      <x:c r="D6" s="17" t="str">
        <x:v>Portal</x:v>
      </x:c>
      <x:c r="E6" s="17" t="str">
        <x:v>P4</x:v>
      </x:c>
      <x:c r="F6" s="17" t="str">
        <x:v>Low</x:v>
      </x:c>
      <x:c r="G6" s="19" t="n">
        <x:v>31.2</x:v>
      </x:c>
      <x:c r="H6" s="17" t="str">
        <x:v>No</x:v>
      </x:c>
      <x:c r="I6" s="17" t="str">
        <x:v>No</x:v>
      </x:c>
      <x:c r="J6" s="17" t="str">
        <x:v>Closed</x:v>
      </x:c>
      <x:c r="K6" s="17" t="str">
        <x:v>L2</x:v>
      </x:c>
    </x:row>
    <x:row r="7">
      <x:c r="A7" s="17" t="str">
        <x:v>T-0006</x:v>
      </x:c>
      <x:c r="B7" s="35" t="d">
        <x:v>2026-02-19T00:00:00.000Z</x:v>
      </x:c>
      <x:c r="C7" s="17" t="str">
        <x:v>Konto użytkownika</x:v>
      </x:c>
      <x:c r="D7" s="17" t="str">
        <x:v>Telefon</x:v>
      </x:c>
      <x:c r="E7" s="17" t="str">
        <x:v>P2</x:v>
      </x:c>
      <x:c r="F7" s="17" t="str">
        <x:v>High</x:v>
      </x:c>
      <x:c r="G7" s="19" t="n">
        <x:v>11.9</x:v>
      </x:c>
      <x:c r="H7" s="17" t="str">
        <x:v>Yes</x:v>
      </x:c>
      <x:c r="I7" s="17" t="str">
        <x:v>Yes</x:v>
      </x:c>
      <x:c r="J7" s="17" t="str">
        <x:v>Closed</x:v>
      </x:c>
      <x:c r="K7" s="17" t="str">
        <x:v>L1</x:v>
      </x:c>
    </x:row>
    <x:row r="8">
      <x:c r="A8" s="17" t="str">
        <x:v>T-0007</x:v>
      </x:c>
      <x:c r="B8" s="35" t="d">
        <x:v>2026-03-16T00:00:00.000Z</x:v>
      </x:c>
      <x:c r="C8" s="17" t="str">
        <x:v>Raporty</x:v>
      </x:c>
      <x:c r="D8" s="17" t="str">
        <x:v>Portal</x:v>
      </x:c>
      <x:c r="E8" s="17" t="str">
        <x:v>P1</x:v>
      </x:c>
      <x:c r="F8" s="17" t="str">
        <x:v>Critical</x:v>
      </x:c>
      <x:c r="G8" s="19" t="n">
        <x:v>13.4</x:v>
      </x:c>
      <x:c r="H8" s="17" t="str">
        <x:v>Yes</x:v>
      </x:c>
      <x:c r="I8" s="17" t="str">
        <x:v>No</x:v>
      </x:c>
      <x:c r="J8" s="17" t="str">
        <x:v>Closed</x:v>
      </x:c>
      <x:c r="K8" s="17" t="str">
        <x:v>L2</x:v>
      </x:c>
    </x:row>
    <x:row r="9">
      <x:c r="A9" s="17" t="str">
        <x:v>T-0008</x:v>
      </x:c>
      <x:c r="B9" s="35" t="d">
        <x:v>2026-04-08T00:00:00.000Z</x:v>
      </x:c>
      <x:c r="C9" s="17" t="str">
        <x:v>Integracja</x:v>
      </x:c>
      <x:c r="D9" s="17" t="str">
        <x:v>Telefon</x:v>
      </x:c>
      <x:c r="E9" s="17" t="str">
        <x:v>P3</x:v>
      </x:c>
      <x:c r="F9" s="17" t="str">
        <x:v>Medium</x:v>
      </x:c>
      <x:c r="G9" s="19" t="n">
        <x:v>27.4</x:v>
      </x:c>
      <x:c r="H9" s="17" t="str">
        <x:v>No</x:v>
      </x:c>
      <x:c r="I9" s="17" t="str">
        <x:v>No</x:v>
      </x:c>
      <x:c r="J9" s="17" t="str">
        <x:v>Closed</x:v>
      </x:c>
      <x:c r="K9" s="17" t="str">
        <x:v>L2</x:v>
      </x:c>
    </x:row>
    <x:row r="10">
      <x:c r="A10" s="17" t="str">
        <x:v>T-0009</x:v>
      </x:c>
      <x:c r="B10" s="35" t="d">
        <x:v>2026-01-09T00:00:00.000Z</x:v>
      </x:c>
      <x:c r="C10" s="17" t="str">
        <x:v>Aplikacja mobilna</x:v>
      </x:c>
      <x:c r="D10" s="17" t="str">
        <x:v>Telefon</x:v>
      </x:c>
      <x:c r="E10" s="17" t="str">
        <x:v>P3</x:v>
      </x:c>
      <x:c r="F10" s="17" t="str">
        <x:v>Medium</x:v>
      </x:c>
      <x:c r="G10" s="19" t="n">
        <x:v>24.4</x:v>
      </x:c>
      <x:c r="H10" s="17" t="str">
        <x:v>No</x:v>
      </x:c>
      <x:c r="I10" s="17" t="str">
        <x:v>No</x:v>
      </x:c>
      <x:c r="J10" s="17" t="str">
        <x:v>Closed</x:v>
      </x:c>
      <x:c r="K10" s="17" t="str">
        <x:v>L2</x:v>
      </x:c>
    </x:row>
    <x:row r="11">
      <x:c r="A11" s="17" t="str">
        <x:v>T-0010</x:v>
      </x:c>
      <x:c r="B11" s="35" t="d">
        <x:v>2026-02-09T00:00:00.000Z</x:v>
      </x:c>
      <x:c r="C11" s="17" t="str">
        <x:v>Integracja</x:v>
      </x:c>
      <x:c r="D11" s="17" t="str">
        <x:v>Portal</x:v>
      </x:c>
      <x:c r="E11" s="17" t="str">
        <x:v>P4</x:v>
      </x:c>
      <x:c r="F11" s="17" t="str">
        <x:v>Low</x:v>
      </x:c>
      <x:c r="G11" s="19" t="n">
        <x:v>40</x:v>
      </x:c>
      <x:c r="H11" s="17" t="str">
        <x:v>No</x:v>
      </x:c>
      <x:c r="I11" s="17" t="str">
        <x:v>No</x:v>
      </x:c>
      <x:c r="J11" s="17" t="str">
        <x:v>Closed</x:v>
      </x:c>
      <x:c r="K11" s="17" t="str">
        <x:v>L1</x:v>
      </x:c>
    </x:row>
    <x:row r="12">
      <x:c r="A12" s="17" t="str">
        <x:v>T-0011</x:v>
      </x:c>
      <x:c r="B12" s="35" t="d">
        <x:v>2026-03-11T00:00:00.000Z</x:v>
      </x:c>
      <x:c r="C12" s="17" t="str">
        <x:v>Raporty</x:v>
      </x:c>
      <x:c r="D12" s="17" t="str">
        <x:v>E-mail</x:v>
      </x:c>
      <x:c r="E12" s="17" t="str">
        <x:v>P2</x:v>
      </x:c>
      <x:c r="F12" s="17" t="str">
        <x:v>High</x:v>
      </x:c>
      <x:c r="G12" s="19" t="n">
        <x:v>22.9</x:v>
      </x:c>
      <x:c r="H12" s="17" t="str">
        <x:v>No</x:v>
      </x:c>
      <x:c r="I12" s="17" t="str">
        <x:v>No</x:v>
      </x:c>
      <x:c r="J12" s="17" t="str">
        <x:v>Closed</x:v>
      </x:c>
      <x:c r="K12" s="17" t="str">
        <x:v>L2</x:v>
      </x:c>
    </x:row>
    <x:row r="13">
      <x:c r="A13" s="17" t="str">
        <x:v>T-0012</x:v>
      </x:c>
      <x:c r="B13" s="35" t="d">
        <x:v>2026-04-24T00:00:00.000Z</x:v>
      </x:c>
      <x:c r="C13" s="17" t="str">
        <x:v>Raporty</x:v>
      </x:c>
      <x:c r="D13" s="17" t="str">
        <x:v>Telefon</x:v>
      </x:c>
      <x:c r="E13" s="17" t="str">
        <x:v>P3</x:v>
      </x:c>
      <x:c r="F13" s="17" t="str">
        <x:v>Medium</x:v>
      </x:c>
      <x:c r="G13" s="19" t="n">
        <x:v>29.7</x:v>
      </x:c>
      <x:c r="H13" s="17" t="str">
        <x:v>Yes</x:v>
      </x:c>
      <x:c r="I13" s="17" t="str">
        <x:v>Yes</x:v>
      </x:c>
      <x:c r="J13" s="17" t="str">
        <x:v>Closed</x:v>
      </x:c>
      <x:c r="K13" s="17" t="str">
        <x:v>L2</x:v>
      </x:c>
    </x:row>
    <x:row r="14">
      <x:c r="A14" s="17" t="str">
        <x:v>T-0013</x:v>
      </x:c>
      <x:c r="B14" s="35" t="d">
        <x:v>2026-01-18T00:00:00.000Z</x:v>
      </x:c>
      <x:c r="C14" s="17" t="str">
        <x:v>Dostęp</x:v>
      </x:c>
      <x:c r="D14" s="17" t="str">
        <x:v>E-mail</x:v>
      </x:c>
      <x:c r="E14" s="17" t="str">
        <x:v>P3</x:v>
      </x:c>
      <x:c r="F14" s="17" t="str">
        <x:v>Medium</x:v>
      </x:c>
      <x:c r="G14" s="19"/>
      <x:c r="H14" s="17" t="str">
        <x:v>No</x:v>
      </x:c>
      <x:c r="I14" s="17" t="str">
        <x:v>No</x:v>
      </x:c>
      <x:c r="J14" s="17" t="str">
        <x:v>Open</x:v>
      </x:c>
      <x:c r="K14" s="17" t="str">
        <x:v>L2</x:v>
      </x:c>
    </x:row>
    <x:row r="15">
      <x:c r="A15" s="17" t="str">
        <x:v>T-0014</x:v>
      </x:c>
      <x:c r="B15" s="35" t="d">
        <x:v>2026-02-16T00:00:00.000Z</x:v>
      </x:c>
      <x:c r="C15" s="17" t="str">
        <x:v>Raporty</x:v>
      </x:c>
      <x:c r="D15" s="17" t="str">
        <x:v>E-mail</x:v>
      </x:c>
      <x:c r="E15" s="17" t="str">
        <x:v>P3</x:v>
      </x:c>
      <x:c r="F15" s="17" t="str">
        <x:v>Medium</x:v>
      </x:c>
      <x:c r="G15" s="19" t="n">
        <x:v>19.3</x:v>
      </x:c>
      <x:c r="H15" s="17" t="str">
        <x:v>No</x:v>
      </x:c>
      <x:c r="I15" s="17" t="str">
        <x:v>No</x:v>
      </x:c>
      <x:c r="J15" s="17" t="str">
        <x:v>Closed</x:v>
      </x:c>
      <x:c r="K15" s="17" t="str">
        <x:v>L1</x:v>
      </x:c>
    </x:row>
    <x:row r="16">
      <x:c r="A16" s="17" t="str">
        <x:v>T-0015</x:v>
      </x:c>
      <x:c r="B16" s="35" t="d">
        <x:v>2026-03-01T00:00:00.000Z</x:v>
      </x:c>
      <x:c r="C16" s="17" t="str">
        <x:v>Konto użytkownika</x:v>
      </x:c>
      <x:c r="D16" s="17" t="str">
        <x:v>Portal</x:v>
      </x:c>
      <x:c r="E16" s="17" t="str">
        <x:v>P2</x:v>
      </x:c>
      <x:c r="F16" s="17" t="str">
        <x:v>High</x:v>
      </x:c>
      <x:c r="G16" s="19" t="n">
        <x:v>11.3</x:v>
      </x:c>
      <x:c r="H16" s="17" t="str">
        <x:v>Yes</x:v>
      </x:c>
      <x:c r="I16" s="17" t="str">
        <x:v>No</x:v>
      </x:c>
      <x:c r="J16" s="17" t="str">
        <x:v>Closed</x:v>
      </x:c>
      <x:c r="K16" s="17" t="str">
        <x:v>L1</x:v>
      </x:c>
    </x:row>
    <x:row r="17">
      <x:c r="A17" s="17" t="str">
        <x:v>T-0016</x:v>
      </x:c>
      <x:c r="B17" s="35" t="d">
        <x:v>2026-04-05T00:00:00.000Z</x:v>
      </x:c>
      <x:c r="C17" s="17" t="str">
        <x:v>Konto użytkownika</x:v>
      </x:c>
      <x:c r="D17" s="17" t="str">
        <x:v>E-mail</x:v>
      </x:c>
      <x:c r="E17" s="17" t="str">
        <x:v>P4</x:v>
      </x:c>
      <x:c r="F17" s="17" t="str">
        <x:v>Low</x:v>
      </x:c>
      <x:c r="G17" s="19" t="n">
        <x:v>34.9</x:v>
      </x:c>
      <x:c r="H17" s="17" t="str">
        <x:v>No</x:v>
      </x:c>
      <x:c r="I17" s="17" t="str">
        <x:v>No</x:v>
      </x:c>
      <x:c r="J17" s="17" t="str">
        <x:v>Closed</x:v>
      </x:c>
      <x:c r="K17" s="17" t="str">
        <x:v>L1</x:v>
      </x:c>
    </x:row>
    <x:row r="18">
      <x:c r="A18" s="17" t="str">
        <x:v>T-0017</x:v>
      </x:c>
      <x:c r="B18" s="35" t="d">
        <x:v>2026-01-06T00:00:00.000Z</x:v>
      </x:c>
      <x:c r="C18" s="17" t="str">
        <x:v>Integracja</x:v>
      </x:c>
      <x:c r="D18" s="17" t="str">
        <x:v>E-mail</x:v>
      </x:c>
      <x:c r="E18" s="17" t="str">
        <x:v>P4</x:v>
      </x:c>
      <x:c r="F18" s="17" t="str">
        <x:v>Low</x:v>
      </x:c>
      <x:c r="G18" s="19" t="n">
        <x:v>38.5</x:v>
      </x:c>
      <x:c r="H18" s="17" t="str">
        <x:v>No</x:v>
      </x:c>
      <x:c r="I18" s="17" t="str">
        <x:v>Yes</x:v>
      </x:c>
      <x:c r="J18" s="17" t="str">
        <x:v>Closed</x:v>
      </x:c>
      <x:c r="K18" s="17" t="str">
        <x:v>L2</x:v>
      </x:c>
    </x:row>
    <x:row r="19">
      <x:c r="A19" s="17" t="str">
        <x:v>T-0018</x:v>
      </x:c>
      <x:c r="B19" s="35" t="d">
        <x:v>2026-02-21T00:00:00.000Z</x:v>
      </x:c>
      <x:c r="C19" s="17" t="str">
        <x:v>Integracja</x:v>
      </x:c>
      <x:c r="D19" s="17" t="str">
        <x:v>E-mail</x:v>
      </x:c>
      <x:c r="E19" s="17" t="str">
        <x:v>P3</x:v>
      </x:c>
      <x:c r="F19" s="17" t="str">
        <x:v>Medium</x:v>
      </x:c>
      <x:c r="G19" s="19" t="n">
        <x:v>16.8</x:v>
      </x:c>
      <x:c r="H19" s="17" t="str">
        <x:v>No</x:v>
      </x:c>
      <x:c r="I19" s="17" t="str">
        <x:v>No</x:v>
      </x:c>
      <x:c r="J19" s="17" t="str">
        <x:v>Closed</x:v>
      </x:c>
      <x:c r="K19" s="17" t="str">
        <x:v>L2</x:v>
      </x:c>
    </x:row>
    <x:row r="20">
      <x:c r="A20" s="17" t="str">
        <x:v>T-0019</x:v>
      </x:c>
      <x:c r="B20" s="35" t="d">
        <x:v>2026-03-01T00:00:00.000Z</x:v>
      </x:c>
      <x:c r="C20" s="17" t="str">
        <x:v>Płatności</x:v>
      </x:c>
      <x:c r="D20" s="17" t="str">
        <x:v>E-mail</x:v>
      </x:c>
      <x:c r="E20" s="17" t="str">
        <x:v>P3</x:v>
      </x:c>
      <x:c r="F20" s="17" t="str">
        <x:v>Medium</x:v>
      </x:c>
      <x:c r="G20" s="19" t="n">
        <x:v>26.7</x:v>
      </x:c>
      <x:c r="H20" s="17" t="str">
        <x:v>No</x:v>
      </x:c>
      <x:c r="I20" s="17" t="str">
        <x:v>No</x:v>
      </x:c>
      <x:c r="J20" s="17" t="str">
        <x:v>Closed</x:v>
      </x:c>
      <x:c r="K20" s="17" t="str">
        <x:v>L2</x:v>
      </x:c>
    </x:row>
    <x:row r="21">
      <x:c r="A21" s="17" t="str">
        <x:v>T-0020</x:v>
      </x:c>
      <x:c r="B21" s="35" t="d">
        <x:v>2026-04-16T00:00:00.000Z</x:v>
      </x:c>
      <x:c r="C21" s="17" t="str">
        <x:v>Dostęp</x:v>
      </x:c>
      <x:c r="D21" s="17" t="str">
        <x:v>Portal</x:v>
      </x:c>
      <x:c r="E21" s="17" t="str">
        <x:v>P3</x:v>
      </x:c>
      <x:c r="F21" s="17" t="str">
        <x:v>Medium</x:v>
      </x:c>
      <x:c r="G21" s="19" t="n">
        <x:v>28.2</x:v>
      </x:c>
      <x:c r="H21" s="17" t="str">
        <x:v>No</x:v>
      </x:c>
      <x:c r="I21" s="17" t="str">
        <x:v>No</x:v>
      </x:c>
      <x:c r="J21" s="17" t="str">
        <x:v>Closed</x:v>
      </x:c>
      <x:c r="K21" s="17" t="str">
        <x:v>L2</x:v>
      </x:c>
    </x:row>
    <x:row r="22">
      <x:c r="A22" s="17" t="str">
        <x:v>T-0021</x:v>
      </x:c>
      <x:c r="B22" s="35" t="d">
        <x:v>2026-01-27T00:00:00.000Z</x:v>
      </x:c>
      <x:c r="C22" s="17" t="str">
        <x:v>Raporty</x:v>
      </x:c>
      <x:c r="D22" s="17" t="str">
        <x:v>Telefon</x:v>
      </x:c>
      <x:c r="E22" s="17" t="str">
        <x:v>P3</x:v>
      </x:c>
      <x:c r="F22" s="17" t="str">
        <x:v>Medium</x:v>
      </x:c>
      <x:c r="G22" s="19" t="n">
        <x:v>21.8</x:v>
      </x:c>
      <x:c r="H22" s="17" t="str">
        <x:v>No</x:v>
      </x:c>
      <x:c r="I22" s="17" t="str">
        <x:v>Yes</x:v>
      </x:c>
      <x:c r="J22" s="17" t="str">
        <x:v>Closed</x:v>
      </x:c>
      <x:c r="K22" s="17" t="str">
        <x:v>L2</x:v>
      </x:c>
    </x:row>
    <x:row r="23">
      <x:c r="A23" s="17" t="str">
        <x:v>T-0022</x:v>
      </x:c>
      <x:c r="B23" s="35" t="d">
        <x:v>2026-02-19T00:00:00.000Z</x:v>
      </x:c>
      <x:c r="C23" s="17" t="str">
        <x:v>Dostęp</x:v>
      </x:c>
      <x:c r="D23" s="17" t="str">
        <x:v>Telefon</x:v>
      </x:c>
      <x:c r="E23" s="17" t="str">
        <x:v>P3</x:v>
      </x:c>
      <x:c r="F23" s="17" t="str">
        <x:v>Medium</x:v>
      </x:c>
      <x:c r="G23" s="19" t="n">
        <x:v>31.2</x:v>
      </x:c>
      <x:c r="H23" s="17" t="str">
        <x:v>Yes</x:v>
      </x:c>
      <x:c r="I23" s="17" t="str">
        <x:v>Yes</x:v>
      </x:c>
      <x:c r="J23" s="17" t="str">
        <x:v>Closed</x:v>
      </x:c>
      <x:c r="K23" s="17" t="str">
        <x:v>L2</x:v>
      </x:c>
    </x:row>
    <x:row r="24">
      <x:c r="A24" s="17" t="str">
        <x:v>T-0023</x:v>
      </x:c>
      <x:c r="B24" s="35" t="d">
        <x:v>2026-03-08T00:00:00.000Z</x:v>
      </x:c>
      <x:c r="C24" s="17" t="str">
        <x:v>Dostęp</x:v>
      </x:c>
      <x:c r="D24" s="17" t="str">
        <x:v>E-mail</x:v>
      </x:c>
      <x:c r="E24" s="17" t="str">
        <x:v>P3</x:v>
      </x:c>
      <x:c r="F24" s="17" t="str">
        <x:v>Medium</x:v>
      </x:c>
      <x:c r="G24" s="19" t="n">
        <x:v>20</x:v>
      </x:c>
      <x:c r="H24" s="17" t="str">
        <x:v>No</x:v>
      </x:c>
      <x:c r="I24" s="17" t="str">
        <x:v>No</x:v>
      </x:c>
      <x:c r="J24" s="17" t="str">
        <x:v>Closed</x:v>
      </x:c>
      <x:c r="K24" s="17" t="str">
        <x:v>L2</x:v>
      </x:c>
    </x:row>
    <x:row r="25">
      <x:c r="A25" s="17" t="str">
        <x:v>T-0024</x:v>
      </x:c>
      <x:c r="B25" s="35" t="d">
        <x:v>2026-04-21T00:00:00.000Z</x:v>
      </x:c>
      <x:c r="C25" s="17" t="str">
        <x:v>Dostęp</x:v>
      </x:c>
      <x:c r="D25" s="17" t="str">
        <x:v>E-mail</x:v>
      </x:c>
      <x:c r="E25" s="17" t="str">
        <x:v>P3</x:v>
      </x:c>
      <x:c r="F25" s="17" t="str">
        <x:v>Medium</x:v>
      </x:c>
      <x:c r="G25" s="19" t="n">
        <x:v>25.2</x:v>
      </x:c>
      <x:c r="H25" s="17" t="str">
        <x:v>No</x:v>
      </x:c>
      <x:c r="I25" s="17" t="str">
        <x:v>Yes</x:v>
      </x:c>
      <x:c r="J25" s="17" t="str">
        <x:v>Closed</x:v>
      </x:c>
      <x:c r="K25" s="17" t="str">
        <x:v>L1</x:v>
      </x:c>
    </x:row>
    <x:row r="26">
      <x:c r="A26" s="17" t="str">
        <x:v>T-0025</x:v>
      </x:c>
      <x:c r="B26" s="35" t="d">
        <x:v>2026-01-22T00:00:00.000Z</x:v>
      </x:c>
      <x:c r="C26" s="17" t="str">
        <x:v>Płatności</x:v>
      </x:c>
      <x:c r="D26" s="17" t="str">
        <x:v>Portal</x:v>
      </x:c>
      <x:c r="E26" s="17" t="str">
        <x:v>P3</x:v>
      </x:c>
      <x:c r="F26" s="17" t="str">
        <x:v>Medium</x:v>
      </x:c>
      <x:c r="G26" s="19" t="n">
        <x:v>30.6</x:v>
      </x:c>
      <x:c r="H26" s="17" t="str">
        <x:v>Yes</x:v>
      </x:c>
      <x:c r="I26" s="17" t="str">
        <x:v>Yes</x:v>
      </x:c>
      <x:c r="J26" s="17" t="str">
        <x:v>Closed</x:v>
      </x:c>
      <x:c r="K26" s="17" t="str">
        <x:v>L2</x:v>
      </x:c>
    </x:row>
    <x:row r="27">
      <x:c r="A27" s="17" t="str">
        <x:v>T-0026</x:v>
      </x:c>
      <x:c r="B27" s="35" t="d">
        <x:v>2026-02-23T00:00:00.000Z</x:v>
      </x:c>
      <x:c r="C27" s="17" t="str">
        <x:v>Integracja</x:v>
      </x:c>
      <x:c r="D27" s="17" t="str">
        <x:v>E-mail</x:v>
      </x:c>
      <x:c r="E27" s="17" t="str">
        <x:v>P2</x:v>
      </x:c>
      <x:c r="F27" s="17" t="str">
        <x:v>High</x:v>
      </x:c>
      <x:c r="G27" s="19"/>
      <x:c r="H27" s="17" t="str">
        <x:v>No</x:v>
      </x:c>
      <x:c r="I27" s="17" t="str">
        <x:v>No</x:v>
      </x:c>
      <x:c r="J27" s="17" t="str">
        <x:v>Open</x:v>
      </x:c>
      <x:c r="K27" s="17" t="str">
        <x:v>L2</x:v>
      </x:c>
    </x:row>
    <x:row r="28">
      <x:c r="A28" s="17" t="str">
        <x:v>T-0027</x:v>
      </x:c>
      <x:c r="B28" s="35" t="d">
        <x:v>2026-03-20T00:00:00.000Z</x:v>
      </x:c>
      <x:c r="C28" s="17" t="str">
        <x:v>Integracja</x:v>
      </x:c>
      <x:c r="D28" s="17" t="str">
        <x:v>Portal</x:v>
      </x:c>
      <x:c r="E28" s="17" t="str">
        <x:v>P4</x:v>
      </x:c>
      <x:c r="F28" s="17" t="str">
        <x:v>Low</x:v>
      </x:c>
      <x:c r="G28" s="19" t="n">
        <x:v>29.8</x:v>
      </x:c>
      <x:c r="H28" s="17" t="str">
        <x:v>No</x:v>
      </x:c>
      <x:c r="I28" s="17" t="str">
        <x:v>No</x:v>
      </x:c>
      <x:c r="J28" s="17" t="str">
        <x:v>Closed</x:v>
      </x:c>
      <x:c r="K28" s="17" t="str">
        <x:v>L2</x:v>
      </x:c>
    </x:row>
    <x:row r="29">
      <x:c r="A29" s="17" t="str">
        <x:v>T-0028</x:v>
      </x:c>
      <x:c r="B29" s="35" t="d">
        <x:v>2026-04-12T00:00:00.000Z</x:v>
      </x:c>
      <x:c r="C29" s="17" t="str">
        <x:v>Aplikacja mobilna</x:v>
      </x:c>
      <x:c r="D29" s="17" t="str">
        <x:v>E-mail</x:v>
      </x:c>
      <x:c r="E29" s="17" t="str">
        <x:v>P3</x:v>
      </x:c>
      <x:c r="F29" s="17" t="str">
        <x:v>Medium</x:v>
      </x:c>
      <x:c r="G29" s="19" t="n">
        <x:v>20.9</x:v>
      </x:c>
      <x:c r="H29" s="17" t="str">
        <x:v>No</x:v>
      </x:c>
      <x:c r="I29" s="17" t="str">
        <x:v>No</x:v>
      </x:c>
      <x:c r="J29" s="17" t="str">
        <x:v>Closed</x:v>
      </x:c>
      <x:c r="K29" s="17" t="str">
        <x:v>L1</x:v>
      </x:c>
    </x:row>
    <x:row r="30">
      <x:c r="A30" s="17" t="str">
        <x:v>T-0029</x:v>
      </x:c>
      <x:c r="B30" s="35" t="d">
        <x:v>2026-01-22T00:00:00.000Z</x:v>
      </x:c>
      <x:c r="C30" s="17" t="str">
        <x:v>Aplikacja mobilna</x:v>
      </x:c>
      <x:c r="D30" s="17" t="str">
        <x:v>E-mail</x:v>
      </x:c>
      <x:c r="E30" s="17" t="str">
        <x:v>P3</x:v>
      </x:c>
      <x:c r="F30" s="17" t="str">
        <x:v>Medium</x:v>
      </x:c>
      <x:c r="G30" s="19" t="n">
        <x:v>18.7</x:v>
      </x:c>
      <x:c r="H30" s="17" t="str">
        <x:v>Yes</x:v>
      </x:c>
      <x:c r="I30" s="17" t="str">
        <x:v>No</x:v>
      </x:c>
      <x:c r="J30" s="17" t="str">
        <x:v>Closed</x:v>
      </x:c>
      <x:c r="K30" s="17" t="str">
        <x:v>L2</x:v>
      </x:c>
    </x:row>
    <x:row r="31">
      <x:c r="A31" s="17" t="str">
        <x:v>T-0030</x:v>
      </x:c>
      <x:c r="B31" s="35" t="d">
        <x:v>2026-02-12T00:00:00.000Z</x:v>
      </x:c>
      <x:c r="C31" s="17" t="str">
        <x:v>Aplikacja mobilna</x:v>
      </x:c>
      <x:c r="D31" s="17" t="str">
        <x:v>Telefon</x:v>
      </x:c>
      <x:c r="E31" s="17" t="str">
        <x:v>P3</x:v>
      </x:c>
      <x:c r="F31" s="17" t="str">
        <x:v>Medium</x:v>
      </x:c>
      <x:c r="G31" s="19" t="n">
        <x:v>25.3</x:v>
      </x:c>
      <x:c r="H31" s="17" t="str">
        <x:v>No</x:v>
      </x:c>
      <x:c r="I31" s="17" t="str">
        <x:v>Yes</x:v>
      </x:c>
      <x:c r="J31" s="17" t="str">
        <x:v>Closed</x:v>
      </x:c>
      <x:c r="K31" s="17" t="str">
        <x:v>L2</x:v>
      </x:c>
    </x:row>
    <x:row r="32">
      <x:c r="A32" s="17" t="str">
        <x:v>T-0031</x:v>
      </x:c>
      <x:c r="B32" s="35" t="d">
        <x:v>2026-03-14T00:00:00.000Z</x:v>
      </x:c>
      <x:c r="C32" s="17" t="str">
        <x:v>Aplikacja mobilna</x:v>
      </x:c>
      <x:c r="D32" s="17" t="str">
        <x:v>Portal</x:v>
      </x:c>
      <x:c r="E32" s="17" t="str">
        <x:v>P4</x:v>
      </x:c>
      <x:c r="F32" s="17" t="str">
        <x:v>Low</x:v>
      </x:c>
      <x:c r="G32" s="19" t="n">
        <x:v>25.3</x:v>
      </x:c>
      <x:c r="H32" s="17" t="str">
        <x:v>No</x:v>
      </x:c>
      <x:c r="I32" s="17" t="str">
        <x:v>Yes</x:v>
      </x:c>
      <x:c r="J32" s="17" t="str">
        <x:v>Closed</x:v>
      </x:c>
      <x:c r="K32" s="17" t="str">
        <x:v>L2</x:v>
      </x:c>
    </x:row>
    <x:row r="33">
      <x:c r="A33" s="17" t="str">
        <x:v>T-0032</x:v>
      </x:c>
      <x:c r="B33" s="35" t="d">
        <x:v>2026-04-26T00:00:00.000Z</x:v>
      </x:c>
      <x:c r="C33" s="17" t="str">
        <x:v>Raporty</x:v>
      </x:c>
      <x:c r="D33" s="17" t="str">
        <x:v>Telefon</x:v>
      </x:c>
      <x:c r="E33" s="17" t="str">
        <x:v>P2</x:v>
      </x:c>
      <x:c r="F33" s="17" t="str">
        <x:v>High</x:v>
      </x:c>
      <x:c r="G33" s="19" t="n">
        <x:v>10.8</x:v>
      </x:c>
      <x:c r="H33" s="17" t="str">
        <x:v>No</x:v>
      </x:c>
      <x:c r="I33" s="17" t="str">
        <x:v>No</x:v>
      </x:c>
      <x:c r="J33" s="17" t="str">
        <x:v>Closed</x:v>
      </x:c>
      <x:c r="K33" s="17" t="str">
        <x:v>L2</x:v>
      </x:c>
    </x:row>
    <x:row r="34">
      <x:c r="A34" s="17" t="str">
        <x:v>T-0033</x:v>
      </x:c>
      <x:c r="B34" s="35" t="d">
        <x:v>2026-01-14T00:00:00.000Z</x:v>
      </x:c>
      <x:c r="C34" s="17" t="str">
        <x:v>Aplikacja mobilna</x:v>
      </x:c>
      <x:c r="D34" s="17" t="str">
        <x:v>Telefon</x:v>
      </x:c>
      <x:c r="E34" s="17" t="str">
        <x:v>P2</x:v>
      </x:c>
      <x:c r="F34" s="17" t="str">
        <x:v>High</x:v>
      </x:c>
      <x:c r="G34" s="19" t="n">
        <x:v>17.9</x:v>
      </x:c>
      <x:c r="H34" s="17" t="str">
        <x:v>Yes</x:v>
      </x:c>
      <x:c r="I34" s="17" t="str">
        <x:v>No</x:v>
      </x:c>
      <x:c r="J34" s="17" t="str">
        <x:v>Closed</x:v>
      </x:c>
      <x:c r="K34" s="17" t="str">
        <x:v>L2</x:v>
      </x:c>
    </x:row>
    <x:row r="35">
      <x:c r="A35" s="17" t="str">
        <x:v>T-0034</x:v>
      </x:c>
      <x:c r="B35" s="35" t="d">
        <x:v>2026-02-01T00:00:00.000Z</x:v>
      </x:c>
      <x:c r="C35" s="17" t="str">
        <x:v>Aplikacja mobilna</x:v>
      </x:c>
      <x:c r="D35" s="17" t="str">
        <x:v>E-mail</x:v>
      </x:c>
      <x:c r="E35" s="17" t="str">
        <x:v>P4</x:v>
      </x:c>
      <x:c r="F35" s="17" t="str">
        <x:v>Low</x:v>
      </x:c>
      <x:c r="G35" s="19" t="n">
        <x:v>29.7</x:v>
      </x:c>
      <x:c r="H35" s="17" t="str">
        <x:v>No</x:v>
      </x:c>
      <x:c r="I35" s="17" t="str">
        <x:v>No</x:v>
      </x:c>
      <x:c r="J35" s="17" t="str">
        <x:v>Closed</x:v>
      </x:c>
      <x:c r="K35" s="17" t="str">
        <x:v>L2</x:v>
      </x:c>
    </x:row>
    <x:row r="36">
      <x:c r="A36" s="17" t="str">
        <x:v>T-0035</x:v>
      </x:c>
      <x:c r="B36" s="35" t="d">
        <x:v>2026-03-03T00:00:00.000Z</x:v>
      </x:c>
      <x:c r="C36" s="17" t="str">
        <x:v>Płatności</x:v>
      </x:c>
      <x:c r="D36" s="17" t="str">
        <x:v>Telefon</x:v>
      </x:c>
      <x:c r="E36" s="17" t="str">
        <x:v>P3</x:v>
      </x:c>
      <x:c r="F36" s="17" t="str">
        <x:v>Medium</x:v>
      </x:c>
      <x:c r="G36" s="19" t="n">
        <x:v>23.5</x:v>
      </x:c>
      <x:c r="H36" s="17" t="str">
        <x:v>No</x:v>
      </x:c>
      <x:c r="I36" s="17" t="str">
        <x:v>No</x:v>
      </x:c>
      <x:c r="J36" s="17" t="str">
        <x:v>Closed</x:v>
      </x:c>
      <x:c r="K36" s="17" t="str">
        <x:v>L1</x:v>
      </x:c>
    </x:row>
    <x:row r="37">
      <x:c r="A37" s="17" t="str">
        <x:v>T-0036</x:v>
      </x:c>
      <x:c r="B37" s="35" t="d">
        <x:v>2026-04-01T00:00:00.000Z</x:v>
      </x:c>
      <x:c r="C37" s="17" t="str">
        <x:v>Konto użytkownika</x:v>
      </x:c>
      <x:c r="D37" s="17" t="str">
        <x:v>E-mail</x:v>
      </x:c>
      <x:c r="E37" s="17" t="str">
        <x:v>P3</x:v>
      </x:c>
      <x:c r="F37" s="17" t="str">
        <x:v>Medium</x:v>
      </x:c>
      <x:c r="G37" s="19" t="n">
        <x:v>27.8</x:v>
      </x:c>
      <x:c r="H37" s="17" t="str">
        <x:v>No</x:v>
      </x:c>
      <x:c r="I37" s="17" t="str">
        <x:v>Yes</x:v>
      </x:c>
      <x:c r="J37" s="17" t="str">
        <x:v>Closed</x:v>
      </x:c>
      <x:c r="K37" s="17" t="str">
        <x:v>L2</x:v>
      </x:c>
    </x:row>
    <x:row r="38">
      <x:c r="A38" s="17" t="str">
        <x:v>T-0037</x:v>
      </x:c>
      <x:c r="B38" s="35" t="d">
        <x:v>2026-01-09T00:00:00.000Z</x:v>
      </x:c>
      <x:c r="C38" s="17" t="str">
        <x:v>Aplikacja mobilna</x:v>
      </x:c>
      <x:c r="D38" s="17" t="str">
        <x:v>E-mail</x:v>
      </x:c>
      <x:c r="E38" s="17" t="str">
        <x:v>P3</x:v>
      </x:c>
      <x:c r="F38" s="17" t="str">
        <x:v>Medium</x:v>
      </x:c>
      <x:c r="G38" s="19" t="n">
        <x:v>18.1</x:v>
      </x:c>
      <x:c r="H38" s="17" t="str">
        <x:v>No</x:v>
      </x:c>
      <x:c r="I38" s="17" t="str">
        <x:v>Yes</x:v>
      </x:c>
      <x:c r="J38" s="17" t="str">
        <x:v>Closed</x:v>
      </x:c>
      <x:c r="K38" s="17" t="str">
        <x:v>L2</x:v>
      </x:c>
    </x:row>
    <x:row r="39">
      <x:c r="A39" s="17" t="str">
        <x:v>T-0038</x:v>
      </x:c>
      <x:c r="B39" s="35" t="d">
        <x:v>2026-02-09T00:00:00.000Z</x:v>
      </x:c>
      <x:c r="C39" s="17" t="str">
        <x:v>Dostęp</x:v>
      </x:c>
      <x:c r="D39" s="17" t="str">
        <x:v>Portal</x:v>
      </x:c>
      <x:c r="E39" s="17" t="str">
        <x:v>P3</x:v>
      </x:c>
      <x:c r="F39" s="17" t="str">
        <x:v>Medium</x:v>
      </x:c>
      <x:c r="G39" s="19" t="n">
        <x:v>29.9</x:v>
      </x:c>
      <x:c r="H39" s="17" t="str">
        <x:v>Yes</x:v>
      </x:c>
      <x:c r="I39" s="17" t="str">
        <x:v>No</x:v>
      </x:c>
      <x:c r="J39" s="17" t="str">
        <x:v>Closed</x:v>
      </x:c>
      <x:c r="K39" s="17" t="str">
        <x:v>L2</x:v>
      </x:c>
    </x:row>
    <x:row r="40">
      <x:c r="A40" s="17" t="str">
        <x:v>T-0039</x:v>
      </x:c>
      <x:c r="B40" s="35" t="d">
        <x:v>2026-03-03T00:00:00.000Z</x:v>
      </x:c>
      <x:c r="C40" s="17" t="str">
        <x:v>Raporty</x:v>
      </x:c>
      <x:c r="D40" s="17" t="str">
        <x:v>Telefon</x:v>
      </x:c>
      <x:c r="E40" s="17" t="str">
        <x:v>P3</x:v>
      </x:c>
      <x:c r="F40" s="17" t="str">
        <x:v>Medium</x:v>
      </x:c>
      <x:c r="G40" s="19"/>
      <x:c r="H40" s="17" t="str">
        <x:v>No</x:v>
      </x:c>
      <x:c r="I40" s="17" t="str">
        <x:v>No</x:v>
      </x:c>
      <x:c r="J40" s="17" t="str">
        <x:v>Open</x:v>
      </x:c>
      <x:c r="K40" s="17" t="str">
        <x:v>L1</x:v>
      </x:c>
    </x:row>
    <x:row r="41">
      <x:c r="A41" s="17" t="str">
        <x:v>T-0040</x:v>
      </x:c>
      <x:c r="B41" s="35" t="d">
        <x:v>2026-04-20T00:00:00.000Z</x:v>
      </x:c>
      <x:c r="C41" s="17" t="str">
        <x:v>Integracja</x:v>
      </x:c>
      <x:c r="D41" s="17" t="str">
        <x:v>Portal</x:v>
      </x:c>
      <x:c r="E41" s="17" t="str">
        <x:v>P3</x:v>
      </x:c>
      <x:c r="F41" s="17" t="str">
        <x:v>Medium</x:v>
      </x:c>
      <x:c r="G41" s="19" t="n">
        <x:v>29.9</x:v>
      </x:c>
      <x:c r="H41" s="17" t="str">
        <x:v>No</x:v>
      </x:c>
      <x:c r="I41" s="17" t="str">
        <x:v>No</x:v>
      </x:c>
      <x:c r="J41" s="17" t="str">
        <x:v>Closed</x:v>
      </x:c>
      <x:c r="K41" s="17" t="str">
        <x:v>L2</x:v>
      </x:c>
    </x:row>
    <x:row r="42">
      <x:c r="A42" s="17" t="str">
        <x:v>T-0041</x:v>
      </x:c>
      <x:c r="B42" s="35" t="d">
        <x:v>2026-01-25T00:00:00.000Z</x:v>
      </x:c>
      <x:c r="C42" s="17" t="str">
        <x:v>Płatności</x:v>
      </x:c>
      <x:c r="D42" s="17" t="str">
        <x:v>E-mail</x:v>
      </x:c>
      <x:c r="E42" s="17" t="str">
        <x:v>P4</x:v>
      </x:c>
      <x:c r="F42" s="17" t="str">
        <x:v>Low</x:v>
      </x:c>
      <x:c r="G42" s="19" t="n">
        <x:v>39.1</x:v>
      </x:c>
      <x:c r="H42" s="17" t="str">
        <x:v>No</x:v>
      </x:c>
      <x:c r="I42" s="17" t="str">
        <x:v>Yes</x:v>
      </x:c>
      <x:c r="J42" s="17" t="str">
        <x:v>Closed</x:v>
      </x:c>
      <x:c r="K42" s="17" t="str">
        <x:v>L1</x:v>
      </x:c>
    </x:row>
    <x:row r="43">
      <x:c r="A43" s="17" t="str">
        <x:v>T-0042</x:v>
      </x:c>
      <x:c r="B43" s="35" t="d">
        <x:v>2026-02-18T00:00:00.000Z</x:v>
      </x:c>
      <x:c r="C43" s="17" t="str">
        <x:v>Płatności</x:v>
      </x:c>
      <x:c r="D43" s="17" t="str">
        <x:v>E-mail</x:v>
      </x:c>
      <x:c r="E43" s="17" t="str">
        <x:v>P4</x:v>
      </x:c>
      <x:c r="F43" s="17" t="str">
        <x:v>Low</x:v>
      </x:c>
      <x:c r="G43" s="19" t="n">
        <x:v>38.9</x:v>
      </x:c>
      <x:c r="H43" s="17" t="str">
        <x:v>No</x:v>
      </x:c>
      <x:c r="I43" s="17" t="str">
        <x:v>No</x:v>
      </x:c>
      <x:c r="J43" s="17" t="str">
        <x:v>Closed</x:v>
      </x:c>
      <x:c r="K43" s="17" t="str">
        <x:v>L2</x:v>
      </x:c>
    </x:row>
    <x:row r="44">
      <x:c r="A44" s="17" t="str">
        <x:v>T-0043</x:v>
      </x:c>
      <x:c r="B44" s="35" t="d">
        <x:v>2026-03-20T00:00:00.000Z</x:v>
      </x:c>
      <x:c r="C44" s="17" t="str">
        <x:v>Integracja</x:v>
      </x:c>
      <x:c r="D44" s="17" t="str">
        <x:v>Portal</x:v>
      </x:c>
      <x:c r="E44" s="17" t="str">
        <x:v>P4</x:v>
      </x:c>
      <x:c r="F44" s="17" t="str">
        <x:v>Low</x:v>
      </x:c>
      <x:c r="G44" s="19" t="n">
        <x:v>35.8</x:v>
      </x:c>
      <x:c r="H44" s="17" t="str">
        <x:v>No</x:v>
      </x:c>
      <x:c r="I44" s="17" t="str">
        <x:v>No</x:v>
      </x:c>
      <x:c r="J44" s="17" t="str">
        <x:v>Closed</x:v>
      </x:c>
      <x:c r="K44" s="17" t="str">
        <x:v>L1</x:v>
      </x:c>
    </x:row>
    <x:row r="45">
      <x:c r="A45" s="17" t="str">
        <x:v>T-0044</x:v>
      </x:c>
      <x:c r="B45" s="35" t="d">
        <x:v>2026-04-09T00:00:00.000Z</x:v>
      </x:c>
      <x:c r="C45" s="17" t="str">
        <x:v>Aplikacja mobilna</x:v>
      </x:c>
      <x:c r="D45" s="17" t="str">
        <x:v>Portal</x:v>
      </x:c>
      <x:c r="E45" s="17" t="str">
        <x:v>P3</x:v>
      </x:c>
      <x:c r="F45" s="17" t="str">
        <x:v>Medium</x:v>
      </x:c>
      <x:c r="G45" s="19" t="n">
        <x:v>29.3</x:v>
      </x:c>
      <x:c r="H45" s="17" t="str">
        <x:v>No</x:v>
      </x:c>
      <x:c r="I45" s="17" t="str">
        <x:v>No</x:v>
      </x:c>
      <x:c r="J45" s="17" t="str">
        <x:v>Closed</x:v>
      </x:c>
      <x:c r="K45" s="17" t="str">
        <x:v>L1</x:v>
      </x:c>
    </x:row>
    <x:row r="46">
      <x:c r="A46" s="17" t="str">
        <x:v>T-0045</x:v>
      </x:c>
      <x:c r="B46" s="35" t="d">
        <x:v>2026-01-05T00:00:00.000Z</x:v>
      </x:c>
      <x:c r="C46" s="17" t="str">
        <x:v>Płatności</x:v>
      </x:c>
      <x:c r="D46" s="17" t="str">
        <x:v>E-mail</x:v>
      </x:c>
      <x:c r="E46" s="17" t="str">
        <x:v>P4</x:v>
      </x:c>
      <x:c r="F46" s="17" t="str">
        <x:v>Low</x:v>
      </x:c>
      <x:c r="G46" s="19" t="n">
        <x:v>37.4</x:v>
      </x:c>
      <x:c r="H46" s="17" t="str">
        <x:v>No</x:v>
      </x:c>
      <x:c r="I46" s="17" t="str">
        <x:v>No</x:v>
      </x:c>
      <x:c r="J46" s="17" t="str">
        <x:v>Closed</x:v>
      </x:c>
      <x:c r="K46" s="17" t="str">
        <x:v>L2</x:v>
      </x:c>
    </x:row>
    <x:row r="47">
      <x:c r="A47" s="17" t="str">
        <x:v>T-0046</x:v>
      </x:c>
      <x:c r="B47" s="35" t="d">
        <x:v>2026-02-23T00:00:00.000Z</x:v>
      </x:c>
      <x:c r="C47" s="17" t="str">
        <x:v>Raporty</x:v>
      </x:c>
      <x:c r="D47" s="17" t="str">
        <x:v>Telefon</x:v>
      </x:c>
      <x:c r="E47" s="17" t="str">
        <x:v>P2</x:v>
      </x:c>
      <x:c r="F47" s="17" t="str">
        <x:v>High</x:v>
      </x:c>
      <x:c r="G47" s="19" t="n">
        <x:v>14.6</x:v>
      </x:c>
      <x:c r="H47" s="17" t="str">
        <x:v>No</x:v>
      </x:c>
      <x:c r="I47" s="17" t="str">
        <x:v>No</x:v>
      </x:c>
      <x:c r="J47" s="17" t="str">
        <x:v>Closed</x:v>
      </x:c>
      <x:c r="K47" s="17" t="str">
        <x:v>L2</x:v>
      </x:c>
    </x:row>
    <x:row r="48">
      <x:c r="A48" s="17" t="str">
        <x:v>T-0047</x:v>
      </x:c>
      <x:c r="B48" s="35" t="d">
        <x:v>2026-03-07T00:00:00.000Z</x:v>
      </x:c>
      <x:c r="C48" s="17" t="str">
        <x:v>Integracja</x:v>
      </x:c>
      <x:c r="D48" s="17" t="str">
        <x:v>Portal</x:v>
      </x:c>
      <x:c r="E48" s="17" t="str">
        <x:v>P4</x:v>
      </x:c>
      <x:c r="F48" s="17" t="str">
        <x:v>Low</x:v>
      </x:c>
      <x:c r="G48" s="19" t="n">
        <x:v>30.8</x:v>
      </x:c>
      <x:c r="H48" s="17" t="str">
        <x:v>No</x:v>
      </x:c>
      <x:c r="I48" s="17" t="str">
        <x:v>No</x:v>
      </x:c>
      <x:c r="J48" s="17" t="str">
        <x:v>Closed</x:v>
      </x:c>
      <x:c r="K48" s="17" t="str">
        <x:v>L1</x:v>
      </x:c>
    </x:row>
    <x:row r="49">
      <x:c r="A49" s="17" t="str">
        <x:v>T-0048</x:v>
      </x:c>
      <x:c r="B49" s="35" t="d">
        <x:v>2026-04-20T00:00:00.000Z</x:v>
      </x:c>
      <x:c r="C49" s="17" t="str">
        <x:v>Aplikacja mobilna</x:v>
      </x:c>
      <x:c r="D49" s="17" t="str">
        <x:v>E-mail</x:v>
      </x:c>
      <x:c r="E49" s="17" t="str">
        <x:v>P4</x:v>
      </x:c>
      <x:c r="F49" s="17" t="str">
        <x:v>Low</x:v>
      </x:c>
      <x:c r="G49" s="19" t="n">
        <x:v>35.3</x:v>
      </x:c>
      <x:c r="H49" s="17" t="str">
        <x:v>No</x:v>
      </x:c>
      <x:c r="I49" s="17" t="str">
        <x:v>No</x:v>
      </x:c>
      <x:c r="J49" s="17" t="str">
        <x:v>Closed</x:v>
      </x:c>
      <x:c r="K49" s="17" t="str">
        <x:v>L1</x:v>
      </x:c>
    </x:row>
    <x:row r="50">
      <x:c r="A50" s="17" t="str">
        <x:v>T-0049</x:v>
      </x:c>
      <x:c r="B50" s="35" t="d">
        <x:v>2026-01-02T00:00:00.000Z</x:v>
      </x:c>
      <x:c r="C50" s="17" t="str">
        <x:v>Płatności</x:v>
      </x:c>
      <x:c r="D50" s="17" t="str">
        <x:v>Portal</x:v>
      </x:c>
      <x:c r="E50" s="17" t="str">
        <x:v>P2</x:v>
      </x:c>
      <x:c r="F50" s="17" t="str">
        <x:v>High</x:v>
      </x:c>
      <x:c r="G50" s="19" t="n">
        <x:v>9.7</x:v>
      </x:c>
      <x:c r="H50" s="17" t="str">
        <x:v>Yes</x:v>
      </x:c>
      <x:c r="I50" s="17" t="str">
        <x:v>No</x:v>
      </x:c>
      <x:c r="J50" s="17" t="str">
        <x:v>Closed</x:v>
      </x:c>
      <x:c r="K50" s="17" t="str">
        <x:v>L1</x:v>
      </x:c>
    </x:row>
    <x:row r="51">
      <x:c r="A51" s="17" t="str">
        <x:v>T-0050</x:v>
      </x:c>
      <x:c r="B51" s="35" t="d">
        <x:v>2026-02-25T00:00:00.000Z</x:v>
      </x:c>
      <x:c r="C51" s="17" t="str">
        <x:v>Raporty</x:v>
      </x:c>
      <x:c r="D51" s="17" t="str">
        <x:v>Telefon</x:v>
      </x:c>
      <x:c r="E51" s="17" t="str">
        <x:v>P2</x:v>
      </x:c>
      <x:c r="F51" s="17" t="str">
        <x:v>High</x:v>
      </x:c>
      <x:c r="G51" s="19" t="n">
        <x:v>11.7</x:v>
      </x:c>
      <x:c r="H51" s="17" t="str">
        <x:v>No</x:v>
      </x:c>
      <x:c r="I51" s="17" t="str">
        <x:v>Yes</x:v>
      </x:c>
      <x:c r="J51" s="17" t="str">
        <x:v>Closed</x:v>
      </x:c>
      <x:c r="K51" s="17" t="str">
        <x:v>L1</x:v>
      </x:c>
    </x:row>
    <x:row r="52">
      <x:c r="A52" s="17" t="str">
        <x:v>T-0051</x:v>
      </x:c>
      <x:c r="B52" s="35" t="d">
        <x:v>2026-03-06T00:00:00.000Z</x:v>
      </x:c>
      <x:c r="C52" s="17" t="str">
        <x:v>Dostęp</x:v>
      </x:c>
      <x:c r="D52" s="17" t="str">
        <x:v>Portal</x:v>
      </x:c>
      <x:c r="E52" s="17" t="str">
        <x:v>P2</x:v>
      </x:c>
      <x:c r="F52" s="17" t="str">
        <x:v>High</x:v>
      </x:c>
      <x:c r="G52" s="19" t="n">
        <x:v>13.8</x:v>
      </x:c>
      <x:c r="H52" s="17" t="str">
        <x:v>No</x:v>
      </x:c>
      <x:c r="I52" s="17" t="str">
        <x:v>No</x:v>
      </x:c>
      <x:c r="J52" s="17" t="str">
        <x:v>Closed</x:v>
      </x:c>
      <x:c r="K52" s="17" t="str">
        <x:v>L1</x:v>
      </x:c>
    </x:row>
    <x:row r="53">
      <x:c r="A53" s="17" t="str">
        <x:v>T-0052</x:v>
      </x:c>
      <x:c r="B53" s="35" t="d">
        <x:v>2026-04-08T00:00:00.000Z</x:v>
      </x:c>
      <x:c r="C53" s="17" t="str">
        <x:v>Integracja</x:v>
      </x:c>
      <x:c r="D53" s="17" t="str">
        <x:v>E-mail</x:v>
      </x:c>
      <x:c r="E53" s="17" t="str">
        <x:v>P3</x:v>
      </x:c>
      <x:c r="F53" s="17" t="str">
        <x:v>Medium</x:v>
      </x:c>
      <x:c r="G53" s="19"/>
      <x:c r="H53" s="17" t="str">
        <x:v>No</x:v>
      </x:c>
      <x:c r="I53" s="17" t="str">
        <x:v>No</x:v>
      </x:c>
      <x:c r="J53" s="17" t="str">
        <x:v>Open</x:v>
      </x:c>
      <x:c r="K53" s="17" t="str">
        <x:v>L2</x:v>
      </x:c>
    </x:row>
    <x:row r="54">
      <x:c r="A54" s="17" t="str">
        <x:v>T-0053</x:v>
      </x:c>
      <x:c r="B54" s="35" t="d">
        <x:v>2026-01-13T00:00:00.000Z</x:v>
      </x:c>
      <x:c r="C54" s="17" t="str">
        <x:v>Integracja</x:v>
      </x:c>
      <x:c r="D54" s="17" t="str">
        <x:v>Portal</x:v>
      </x:c>
      <x:c r="E54" s="17" t="str">
        <x:v>P2</x:v>
      </x:c>
      <x:c r="F54" s="17" t="str">
        <x:v>High</x:v>
      </x:c>
      <x:c r="G54" s="19" t="n">
        <x:v>17.7</x:v>
      </x:c>
      <x:c r="H54" s="17" t="str">
        <x:v>Yes</x:v>
      </x:c>
      <x:c r="I54" s="17" t="str">
        <x:v>Yes</x:v>
      </x:c>
      <x:c r="J54" s="17" t="str">
        <x:v>Closed</x:v>
      </x:c>
      <x:c r="K54" s="17" t="str">
        <x:v>L1</x:v>
      </x:c>
    </x:row>
    <x:row r="55">
      <x:c r="A55" s="17" t="str">
        <x:v>T-0054</x:v>
      </x:c>
      <x:c r="B55" s="35" t="d">
        <x:v>2026-02-16T00:00:00.000Z</x:v>
      </x:c>
      <x:c r="C55" s="17" t="str">
        <x:v>Raporty</x:v>
      </x:c>
      <x:c r="D55" s="17" t="str">
        <x:v>Telefon</x:v>
      </x:c>
      <x:c r="E55" s="17" t="str">
        <x:v>P3</x:v>
      </x:c>
      <x:c r="F55" s="17" t="str">
        <x:v>Medium</x:v>
      </x:c>
      <x:c r="G55" s="19" t="n">
        <x:v>20.4</x:v>
      </x:c>
      <x:c r="H55" s="17" t="str">
        <x:v>No</x:v>
      </x:c>
      <x:c r="I55" s="17" t="str">
        <x:v>Yes</x:v>
      </x:c>
      <x:c r="J55" s="17" t="str">
        <x:v>Closed</x:v>
      </x:c>
      <x:c r="K55" s="17" t="str">
        <x:v>L2</x:v>
      </x:c>
    </x:row>
    <x:row r="56">
      <x:c r="A56" s="17" t="str">
        <x:v>T-0055</x:v>
      </x:c>
      <x:c r="B56" s="35" t="d">
        <x:v>2026-03-10T00:00:00.000Z</x:v>
      </x:c>
      <x:c r="C56" s="17" t="str">
        <x:v>Dostęp</x:v>
      </x:c>
      <x:c r="D56" s="17" t="str">
        <x:v>Portal</x:v>
      </x:c>
      <x:c r="E56" s="17" t="str">
        <x:v>P3</x:v>
      </x:c>
      <x:c r="F56" s="17" t="str">
        <x:v>Medium</x:v>
      </x:c>
      <x:c r="G56" s="19" t="n">
        <x:v>18.4</x:v>
      </x:c>
      <x:c r="H56" s="17" t="str">
        <x:v>No</x:v>
      </x:c>
      <x:c r="I56" s="17" t="str">
        <x:v>No</x:v>
      </x:c>
      <x:c r="J56" s="17" t="str">
        <x:v>Closed</x:v>
      </x:c>
      <x:c r="K56" s="17" t="str">
        <x:v>L1</x:v>
      </x:c>
    </x:row>
    <x:row r="57">
      <x:c r="A57" s="17" t="str">
        <x:v>T-0056</x:v>
      </x:c>
      <x:c r="B57" s="35" t="d">
        <x:v>2026-04-19T00:00:00.000Z</x:v>
      </x:c>
      <x:c r="C57" s="17" t="str">
        <x:v>Aplikacja mobilna</x:v>
      </x:c>
      <x:c r="D57" s="17" t="str">
        <x:v>E-mail</x:v>
      </x:c>
      <x:c r="E57" s="17" t="str">
        <x:v>P4</x:v>
      </x:c>
      <x:c r="F57" s="17" t="str">
        <x:v>Low</x:v>
      </x:c>
      <x:c r="G57" s="19" t="n">
        <x:v>34</x:v>
      </x:c>
      <x:c r="H57" s="17" t="str">
        <x:v>No</x:v>
      </x:c>
      <x:c r="I57" s="17" t="str">
        <x:v>No</x:v>
      </x:c>
      <x:c r="J57" s="17" t="str">
        <x:v>Closed</x:v>
      </x:c>
      <x:c r="K57" s="17" t="str">
        <x:v>L2</x:v>
      </x:c>
    </x:row>
    <x:row r="58">
      <x:c r="A58" s="17" t="str">
        <x:v>T-0057</x:v>
      </x:c>
      <x:c r="B58" s="35" t="d">
        <x:v>2026-01-06T00:00:00.000Z</x:v>
      </x:c>
      <x:c r="C58" s="17" t="str">
        <x:v>Integracja</x:v>
      </x:c>
      <x:c r="D58" s="17" t="str">
        <x:v>E-mail</x:v>
      </x:c>
      <x:c r="E58" s="17" t="str">
        <x:v>P2</x:v>
      </x:c>
      <x:c r="F58" s="17" t="str">
        <x:v>High</x:v>
      </x:c>
      <x:c r="G58" s="19" t="n">
        <x:v>12.3</x:v>
      </x:c>
      <x:c r="H58" s="17" t="str">
        <x:v>No</x:v>
      </x:c>
      <x:c r="I58" s="17" t="str">
        <x:v>Yes</x:v>
      </x:c>
      <x:c r="J58" s="17" t="str">
        <x:v>Closed</x:v>
      </x:c>
      <x:c r="K58" s="17" t="str">
        <x:v>L2</x:v>
      </x:c>
    </x:row>
    <x:row r="59">
      <x:c r="A59" s="17" t="str">
        <x:v>T-0058</x:v>
      </x:c>
      <x:c r="B59" s="35" t="d">
        <x:v>2026-02-04T00:00:00.000Z</x:v>
      </x:c>
      <x:c r="C59" s="17" t="str">
        <x:v>Integracja</x:v>
      </x:c>
      <x:c r="D59" s="17" t="str">
        <x:v>E-mail</x:v>
      </x:c>
      <x:c r="E59" s="17" t="str">
        <x:v>P3</x:v>
      </x:c>
      <x:c r="F59" s="17" t="str">
        <x:v>Medium</x:v>
      </x:c>
      <x:c r="G59" s="19" t="n">
        <x:v>29.6</x:v>
      </x:c>
      <x:c r="H59" s="17" t="str">
        <x:v>Yes</x:v>
      </x:c>
      <x:c r="I59" s="17" t="str">
        <x:v>No</x:v>
      </x:c>
      <x:c r="J59" s="17" t="str">
        <x:v>Closed</x:v>
      </x:c>
      <x:c r="K59" s="17" t="str">
        <x:v>L1</x:v>
      </x:c>
    </x:row>
    <x:row r="60">
      <x:c r="A60" s="17" t="str">
        <x:v>T-0059</x:v>
      </x:c>
      <x:c r="B60" s="35" t="d">
        <x:v>2026-03-17T00:00:00.000Z</x:v>
      </x:c>
      <x:c r="C60" s="17" t="str">
        <x:v>Aplikacja mobilna</x:v>
      </x:c>
      <x:c r="D60" s="17" t="str">
        <x:v>E-mail</x:v>
      </x:c>
      <x:c r="E60" s="17" t="str">
        <x:v>P1</x:v>
      </x:c>
      <x:c r="F60" s="17" t="str">
        <x:v>Critical</x:v>
      </x:c>
      <x:c r="G60" s="19" t="n">
        <x:v>5.3</x:v>
      </x:c>
      <x:c r="H60" s="17" t="str">
        <x:v>Yes</x:v>
      </x:c>
      <x:c r="I60" s="17" t="str">
        <x:v>No</x:v>
      </x:c>
      <x:c r="J60" s="17" t="str">
        <x:v>Closed</x:v>
      </x:c>
      <x:c r="K60" s="17" t="str">
        <x:v>L1</x:v>
      </x:c>
    </x:row>
    <x:row r="61">
      <x:c r="A61" s="17" t="str">
        <x:v>T-0060</x:v>
      </x:c>
      <x:c r="B61" s="35" t="d">
        <x:v>2026-04-09T00:00:00.000Z</x:v>
      </x:c>
      <x:c r="C61" s="17" t="str">
        <x:v>Konto użytkownika</x:v>
      </x:c>
      <x:c r="D61" s="17" t="str">
        <x:v>Telefon</x:v>
      </x:c>
      <x:c r="E61" s="17" t="str">
        <x:v>P4</x:v>
      </x:c>
      <x:c r="F61" s="17" t="str">
        <x:v>Low</x:v>
      </x:c>
      <x:c r="G61" s="19" t="n">
        <x:v>25</x:v>
      </x:c>
      <x:c r="H61" s="17" t="str">
        <x:v>No</x:v>
      </x:c>
      <x:c r="I61" s="17" t="str">
        <x:v>No</x:v>
      </x:c>
      <x:c r="J61" s="17" t="str">
        <x:v>Closed</x:v>
      </x:c>
      <x:c r="K61" s="17" t="str">
        <x:v>L2</x:v>
      </x:c>
    </x:row>
    <x:row r="62">
      <x:c r="A62" s="17" t="str">
        <x:v>T-0061</x:v>
      </x:c>
      <x:c r="B62" s="35" t="d">
        <x:v>2026-01-07T00:00:00.000Z</x:v>
      </x:c>
      <x:c r="C62" s="17" t="str">
        <x:v>Płatności</x:v>
      </x:c>
      <x:c r="D62" s="17" t="str">
        <x:v>E-mail</x:v>
      </x:c>
      <x:c r="E62" s="17" t="str">
        <x:v>P3</x:v>
      </x:c>
      <x:c r="F62" s="17" t="str">
        <x:v>Medium</x:v>
      </x:c>
      <x:c r="G62" s="19" t="n">
        <x:v>22.2</x:v>
      </x:c>
      <x:c r="H62" s="17" t="str">
        <x:v>No</x:v>
      </x:c>
      <x:c r="I62" s="17" t="str">
        <x:v>Yes</x:v>
      </x:c>
      <x:c r="J62" s="17" t="str">
        <x:v>Closed</x:v>
      </x:c>
      <x:c r="K62" s="17" t="str">
        <x:v>L1</x:v>
      </x:c>
    </x:row>
    <x:row r="63">
      <x:c r="A63" s="17" t="str">
        <x:v>T-0062</x:v>
      </x:c>
      <x:c r="B63" s="35" t="d">
        <x:v>2026-02-14T00:00:00.000Z</x:v>
      </x:c>
      <x:c r="C63" s="17" t="str">
        <x:v>Konto użytkownika</x:v>
      </x:c>
      <x:c r="D63" s="17" t="str">
        <x:v>E-mail</x:v>
      </x:c>
      <x:c r="E63" s="17" t="str">
        <x:v>P4</x:v>
      </x:c>
      <x:c r="F63" s="17" t="str">
        <x:v>Low</x:v>
      </x:c>
      <x:c r="G63" s="19" t="n">
        <x:v>27</x:v>
      </x:c>
      <x:c r="H63" s="17" t="str">
        <x:v>No</x:v>
      </x:c>
      <x:c r="I63" s="17" t="str">
        <x:v>No</x:v>
      </x:c>
      <x:c r="J63" s="17" t="str">
        <x:v>Closed</x:v>
      </x:c>
      <x:c r="K63" s="17" t="str">
        <x:v>L1</x:v>
      </x:c>
    </x:row>
    <x:row r="64">
      <x:c r="A64" s="17" t="str">
        <x:v>T-0063</x:v>
      </x:c>
      <x:c r="B64" s="35" t="d">
        <x:v>2026-03-12T00:00:00.000Z</x:v>
      </x:c>
      <x:c r="C64" s="17" t="str">
        <x:v>Płatności</x:v>
      </x:c>
      <x:c r="D64" s="17" t="str">
        <x:v>Telefon</x:v>
      </x:c>
      <x:c r="E64" s="17" t="str">
        <x:v>P4</x:v>
      </x:c>
      <x:c r="F64" s="17" t="str">
        <x:v>Low</x:v>
      </x:c>
      <x:c r="G64" s="19" t="n">
        <x:v>35</x:v>
      </x:c>
      <x:c r="H64" s="17" t="str">
        <x:v>No</x:v>
      </x:c>
      <x:c r="I64" s="17" t="str">
        <x:v>No</x:v>
      </x:c>
      <x:c r="J64" s="17" t="str">
        <x:v>Closed</x:v>
      </x:c>
      <x:c r="K64" s="17" t="str">
        <x:v>L2</x:v>
      </x:c>
    </x:row>
    <x:row r="65">
      <x:c r="A65" s="17" t="str">
        <x:v>T-0064</x:v>
      </x:c>
      <x:c r="B65" s="35" t="d">
        <x:v>2026-04-21T00:00:00.000Z</x:v>
      </x:c>
      <x:c r="C65" s="17" t="str">
        <x:v>Płatności</x:v>
      </x:c>
      <x:c r="D65" s="17" t="str">
        <x:v>E-mail</x:v>
      </x:c>
      <x:c r="E65" s="17" t="str">
        <x:v>P4</x:v>
      </x:c>
      <x:c r="F65" s="17" t="str">
        <x:v>Low</x:v>
      </x:c>
      <x:c r="G65" s="19" t="n">
        <x:v>27.4</x:v>
      </x:c>
      <x:c r="H65" s="17" t="str">
        <x:v>Yes</x:v>
      </x:c>
      <x:c r="I65" s="17" t="str">
        <x:v>No</x:v>
      </x:c>
      <x:c r="J65" s="17" t="str">
        <x:v>Closed</x:v>
      </x:c>
      <x:c r="K65" s="17" t="str">
        <x:v>L2</x:v>
      </x:c>
    </x:row>
    <x:row r="66">
      <x:c r="A66" s="17" t="str">
        <x:v>T-0065</x:v>
      </x:c>
      <x:c r="B66" s="35" t="d">
        <x:v>2026-01-08T00:00:00.000Z</x:v>
      </x:c>
      <x:c r="C66" s="17" t="str">
        <x:v>Konto użytkownika</x:v>
      </x:c>
      <x:c r="D66" s="17" t="str">
        <x:v>Telefon</x:v>
      </x:c>
      <x:c r="E66" s="17" t="str">
        <x:v>P3</x:v>
      </x:c>
      <x:c r="F66" s="17" t="str">
        <x:v>Medium</x:v>
      </x:c>
      <x:c r="G66" s="19"/>
      <x:c r="H66" s="17" t="str">
        <x:v>No</x:v>
      </x:c>
      <x:c r="I66" s="17" t="str">
        <x:v>No</x:v>
      </x:c>
      <x:c r="J66" s="17" t="str">
        <x:v>Open</x:v>
      </x:c>
      <x:c r="K66" s="17" t="str">
        <x:v>L2</x:v>
      </x:c>
    </x:row>
    <x:row r="67">
      <x:c r="A67" s="17" t="str">
        <x:v>T-0066</x:v>
      </x:c>
      <x:c r="B67" s="35" t="d">
        <x:v>2026-02-11T00:00:00.000Z</x:v>
      </x:c>
      <x:c r="C67" s="17" t="str">
        <x:v>Raporty</x:v>
      </x:c>
      <x:c r="D67" s="17" t="str">
        <x:v>Portal</x:v>
      </x:c>
      <x:c r="E67" s="17" t="str">
        <x:v>P2</x:v>
      </x:c>
      <x:c r="F67" s="17" t="str">
        <x:v>High</x:v>
      </x:c>
      <x:c r="G67" s="19" t="n">
        <x:v>11.3</x:v>
      </x:c>
      <x:c r="H67" s="17" t="str">
        <x:v>No</x:v>
      </x:c>
      <x:c r="I67" s="17" t="str">
        <x:v>No</x:v>
      </x:c>
      <x:c r="J67" s="17" t="str">
        <x:v>Closed</x:v>
      </x:c>
      <x:c r="K67" s="17" t="str">
        <x:v>L2</x:v>
      </x:c>
    </x:row>
    <x:row r="68">
      <x:c r="A68" s="17" t="str">
        <x:v>T-0067</x:v>
      </x:c>
      <x:c r="B68" s="35" t="d">
        <x:v>2026-03-13T00:00:00.000Z</x:v>
      </x:c>
      <x:c r="C68" s="17" t="str">
        <x:v>Konto użytkownika</x:v>
      </x:c>
      <x:c r="D68" s="17" t="str">
        <x:v>Portal</x:v>
      </x:c>
      <x:c r="E68" s="17" t="str">
        <x:v>P2</x:v>
      </x:c>
      <x:c r="F68" s="17" t="str">
        <x:v>High</x:v>
      </x:c>
      <x:c r="G68" s="19" t="n">
        <x:v>19</x:v>
      </x:c>
      <x:c r="H68" s="17" t="str">
        <x:v>No</x:v>
      </x:c>
      <x:c r="I68" s="17" t="str">
        <x:v>Yes</x:v>
      </x:c>
      <x:c r="J68" s="17" t="str">
        <x:v>Closed</x:v>
      </x:c>
      <x:c r="K68" s="17" t="str">
        <x:v>L2</x:v>
      </x:c>
    </x:row>
    <x:row r="69">
      <x:c r="A69" s="17" t="str">
        <x:v>T-0068</x:v>
      </x:c>
      <x:c r="B69" s="35" t="d">
        <x:v>2026-04-14T00:00:00.000Z</x:v>
      </x:c>
      <x:c r="C69" s="17" t="str">
        <x:v>Płatności</x:v>
      </x:c>
      <x:c r="D69" s="17" t="str">
        <x:v>E-mail</x:v>
      </x:c>
      <x:c r="E69" s="17" t="str">
        <x:v>P2</x:v>
      </x:c>
      <x:c r="F69" s="17" t="str">
        <x:v>High</x:v>
      </x:c>
      <x:c r="G69" s="19" t="n">
        <x:v>16</x:v>
      </x:c>
      <x:c r="H69" s="17" t="str">
        <x:v>Yes</x:v>
      </x:c>
      <x:c r="I69" s="17" t="str">
        <x:v>No</x:v>
      </x:c>
      <x:c r="J69" s="17" t="str">
        <x:v>Closed</x:v>
      </x:c>
      <x:c r="K69" s="17" t="str">
        <x:v>L1</x:v>
      </x:c>
    </x:row>
    <x:row r="70">
      <x:c r="A70" s="17" t="str">
        <x:v>T-0069</x:v>
      </x:c>
      <x:c r="B70" s="35" t="d">
        <x:v>2026-01-10T00:00:00.000Z</x:v>
      </x:c>
      <x:c r="C70" s="17" t="str">
        <x:v>Dostęp</x:v>
      </x:c>
      <x:c r="D70" s="17" t="str">
        <x:v>Portal</x:v>
      </x:c>
      <x:c r="E70" s="17" t="str">
        <x:v>P3</x:v>
      </x:c>
      <x:c r="F70" s="17" t="str">
        <x:v>Medium</x:v>
      </x:c>
      <x:c r="G70" s="19" t="n">
        <x:v>31.1</x:v>
      </x:c>
      <x:c r="H70" s="17" t="str">
        <x:v>Yes</x:v>
      </x:c>
      <x:c r="I70" s="17" t="str">
        <x:v>No</x:v>
      </x:c>
      <x:c r="J70" s="17" t="str">
        <x:v>Closed</x:v>
      </x:c>
      <x:c r="K70" s="17" t="str">
        <x:v>L2</x:v>
      </x:c>
    </x:row>
    <x:row r="71">
      <x:c r="A71" s="17" t="str">
        <x:v>T-0070</x:v>
      </x:c>
      <x:c r="B71" s="35" t="d">
        <x:v>2026-02-26T00:00:00.000Z</x:v>
      </x:c>
      <x:c r="C71" s="17" t="str">
        <x:v>Konto użytkownika</x:v>
      </x:c>
      <x:c r="D71" s="17" t="str">
        <x:v>E-mail</x:v>
      </x:c>
      <x:c r="E71" s="17" t="str">
        <x:v>P4</x:v>
      </x:c>
      <x:c r="F71" s="17" t="str">
        <x:v>Low</x:v>
      </x:c>
      <x:c r="G71" s="19" t="n">
        <x:v>31.6</x:v>
      </x:c>
      <x:c r="H71" s="17" t="str">
        <x:v>No</x:v>
      </x:c>
      <x:c r="I71" s="17" t="str">
        <x:v>No</x:v>
      </x:c>
      <x:c r="J71" s="17" t="str">
        <x:v>Closed</x:v>
      </x:c>
      <x:c r="K71" s="17" t="str">
        <x:v>L2</x:v>
      </x:c>
    </x:row>
    <x:row r="72">
      <x:c r="A72" s="17" t="str">
        <x:v>T-0071</x:v>
      </x:c>
      <x:c r="B72" s="35" t="d">
        <x:v>2026-03-01T00:00:00.000Z</x:v>
      </x:c>
      <x:c r="C72" s="17" t="str">
        <x:v>Dostęp</x:v>
      </x:c>
      <x:c r="D72" s="17" t="str">
        <x:v>E-mail</x:v>
      </x:c>
      <x:c r="E72" s="17" t="str">
        <x:v>P3</x:v>
      </x:c>
      <x:c r="F72" s="17" t="str">
        <x:v>Medium</x:v>
      </x:c>
      <x:c r="G72" s="19" t="n">
        <x:v>19.2</x:v>
      </x:c>
      <x:c r="H72" s="17" t="str">
        <x:v>No</x:v>
      </x:c>
      <x:c r="I72" s="17" t="str">
        <x:v>Yes</x:v>
      </x:c>
      <x:c r="J72" s="17" t="str">
        <x:v>Closed</x:v>
      </x:c>
      <x:c r="K72" s="17" t="str">
        <x:v>L2</x:v>
      </x:c>
    </x:row>
    <x:row r="73">
      <x:c r="A73" s="17" t="str">
        <x:v>T-0072</x:v>
      </x:c>
      <x:c r="B73" s="35" t="d">
        <x:v>2026-04-27T00:00:00.000Z</x:v>
      </x:c>
      <x:c r="C73" s="17" t="str">
        <x:v>Raporty</x:v>
      </x:c>
      <x:c r="D73" s="17" t="str">
        <x:v>Telefon</x:v>
      </x:c>
      <x:c r="E73" s="17" t="str">
        <x:v>P3</x:v>
      </x:c>
      <x:c r="F73" s="17" t="str">
        <x:v>Medium</x:v>
      </x:c>
      <x:c r="G73" s="19" t="n">
        <x:v>25.3</x:v>
      </x:c>
      <x:c r="H73" s="17" t="str">
        <x:v>No</x:v>
      </x:c>
      <x:c r="I73" s="17" t="str">
        <x:v>No</x:v>
      </x:c>
      <x:c r="J73" s="17" t="str">
        <x:v>Closed</x:v>
      </x:c>
      <x:c r="K73" s="17" t="str">
        <x:v>L1</x:v>
      </x:c>
    </x:row>
    <x:row r="74">
      <x:c r="A74" s="17" t="str">
        <x:v>T-0073</x:v>
      </x:c>
      <x:c r="B74" s="35" t="d">
        <x:v>2026-01-25T00:00:00.000Z</x:v>
      </x:c>
      <x:c r="C74" s="17" t="str">
        <x:v>Integracja</x:v>
      </x:c>
      <x:c r="D74" s="17" t="str">
        <x:v>Telefon</x:v>
      </x:c>
      <x:c r="E74" s="17" t="str">
        <x:v>P3</x:v>
      </x:c>
      <x:c r="F74" s="17" t="str">
        <x:v>Medium</x:v>
      </x:c>
      <x:c r="G74" s="19" t="n">
        <x:v>29</x:v>
      </x:c>
      <x:c r="H74" s="17" t="str">
        <x:v>No</x:v>
      </x:c>
      <x:c r="I74" s="17" t="str">
        <x:v>Yes</x:v>
      </x:c>
      <x:c r="J74" s="17" t="str">
        <x:v>Closed</x:v>
      </x:c>
      <x:c r="K74" s="17" t="str">
        <x:v>L2</x:v>
      </x:c>
    </x:row>
    <x:row r="75">
      <x:c r="A75" s="17" t="str">
        <x:v>T-0074</x:v>
      </x:c>
      <x:c r="B75" s="35" t="d">
        <x:v>2026-02-09T00:00:00.000Z</x:v>
      </x:c>
      <x:c r="C75" s="17" t="str">
        <x:v>Konto użytkownika</x:v>
      </x:c>
      <x:c r="D75" s="17" t="str">
        <x:v>Telefon</x:v>
      </x:c>
      <x:c r="E75" s="17" t="str">
        <x:v>P4</x:v>
      </x:c>
      <x:c r="F75" s="17" t="str">
        <x:v>Low</x:v>
      </x:c>
      <x:c r="G75" s="19" t="n">
        <x:v>36.8</x:v>
      </x:c>
      <x:c r="H75" s="17" t="str">
        <x:v>No</x:v>
      </x:c>
      <x:c r="I75" s="17" t="str">
        <x:v>No</x:v>
      </x:c>
      <x:c r="J75" s="17" t="str">
        <x:v>Closed</x:v>
      </x:c>
      <x:c r="K75" s="17" t="str">
        <x:v>L2</x:v>
      </x:c>
    </x:row>
    <x:row r="76">
      <x:c r="A76" s="17" t="str">
        <x:v>T-0075</x:v>
      </x:c>
      <x:c r="B76" s="35" t="d">
        <x:v>2026-03-12T00:00:00.000Z</x:v>
      </x:c>
      <x:c r="C76" s="17" t="str">
        <x:v>Integracja</x:v>
      </x:c>
      <x:c r="D76" s="17" t="str">
        <x:v>Telefon</x:v>
      </x:c>
      <x:c r="E76" s="17" t="str">
        <x:v>P3</x:v>
      </x:c>
      <x:c r="F76" s="17" t="str">
        <x:v>Medium</x:v>
      </x:c>
      <x:c r="G76" s="19" t="n">
        <x:v>30.4</x:v>
      </x:c>
      <x:c r="H76" s="17" t="str">
        <x:v>Yes</x:v>
      </x:c>
      <x:c r="I76" s="17" t="str">
        <x:v>No</x:v>
      </x:c>
      <x:c r="J76" s="17" t="str">
        <x:v>Closed</x:v>
      </x:c>
      <x:c r="K76" s="17" t="str">
        <x:v>L2</x:v>
      </x:c>
    </x:row>
    <x:row r="77">
      <x:c r="A77" s="17" t="str">
        <x:v>T-0076</x:v>
      </x:c>
      <x:c r="B77" s="35" t="d">
        <x:v>2026-04-04T00:00:00.000Z</x:v>
      </x:c>
      <x:c r="C77" s="17" t="str">
        <x:v>Płatności</x:v>
      </x:c>
      <x:c r="D77" s="17" t="str">
        <x:v>Portal</x:v>
      </x:c>
      <x:c r="E77" s="17" t="str">
        <x:v>P3</x:v>
      </x:c>
      <x:c r="F77" s="17" t="str">
        <x:v>Medium</x:v>
      </x:c>
      <x:c r="G77" s="19" t="n">
        <x:v>24.1</x:v>
      </x:c>
      <x:c r="H77" s="17" t="str">
        <x:v>No</x:v>
      </x:c>
      <x:c r="I77" s="17" t="str">
        <x:v>No</x:v>
      </x:c>
      <x:c r="J77" s="17" t="str">
        <x:v>Closed</x:v>
      </x:c>
      <x:c r="K77" s="17" t="str">
        <x:v>L1</x:v>
      </x:c>
    </x:row>
    <x:row r="78">
      <x:c r="A78" s="17" t="str">
        <x:v>T-0077</x:v>
      </x:c>
      <x:c r="B78" s="35" t="d">
        <x:v>2026-01-05T00:00:00.000Z</x:v>
      </x:c>
      <x:c r="C78" s="17" t="str">
        <x:v>Dostęp</x:v>
      </x:c>
      <x:c r="D78" s="17" t="str">
        <x:v>Telefon</x:v>
      </x:c>
      <x:c r="E78" s="17" t="str">
        <x:v>P4</x:v>
      </x:c>
      <x:c r="F78" s="17" t="str">
        <x:v>Low</x:v>
      </x:c>
      <x:c r="G78" s="19" t="n">
        <x:v>31.4</x:v>
      </x:c>
      <x:c r="H78" s="17" t="str">
        <x:v>No</x:v>
      </x:c>
      <x:c r="I78" s="17" t="str">
        <x:v>No</x:v>
      </x:c>
      <x:c r="J78" s="17" t="str">
        <x:v>Closed</x:v>
      </x:c>
      <x:c r="K78" s="17" t="str">
        <x:v>L2</x:v>
      </x:c>
    </x:row>
    <x:row r="79">
      <x:c r="A79" s="17" t="str">
        <x:v>T-0078</x:v>
      </x:c>
      <x:c r="B79" s="35" t="d">
        <x:v>2026-02-05T00:00:00.000Z</x:v>
      </x:c>
      <x:c r="C79" s="17" t="str">
        <x:v>Płatności</x:v>
      </x:c>
      <x:c r="D79" s="17" t="str">
        <x:v>Portal</x:v>
      </x:c>
      <x:c r="E79" s="17" t="str">
        <x:v>P3</x:v>
      </x:c>
      <x:c r="F79" s="17" t="str">
        <x:v>Medium</x:v>
      </x:c>
      <x:c r="G79" s="19"/>
      <x:c r="H79" s="17" t="str">
        <x:v>No</x:v>
      </x:c>
      <x:c r="I79" s="17" t="str">
        <x:v>No</x:v>
      </x:c>
      <x:c r="J79" s="17" t="str">
        <x:v>Open</x:v>
      </x:c>
      <x:c r="K79" s="17" t="str">
        <x:v>L2</x:v>
      </x:c>
    </x:row>
    <x:row r="80">
      <x:c r="A80" s="17" t="str">
        <x:v>T-0079</x:v>
      </x:c>
      <x:c r="B80" s="35" t="d">
        <x:v>2026-03-05T00:00:00.000Z</x:v>
      </x:c>
      <x:c r="C80" s="17" t="str">
        <x:v>Raporty</x:v>
      </x:c>
      <x:c r="D80" s="17" t="str">
        <x:v>Portal</x:v>
      </x:c>
      <x:c r="E80" s="17" t="str">
        <x:v>P2</x:v>
      </x:c>
      <x:c r="F80" s="17" t="str">
        <x:v>High</x:v>
      </x:c>
      <x:c r="G80" s="19" t="n">
        <x:v>11.1</x:v>
      </x:c>
      <x:c r="H80" s="17" t="str">
        <x:v>Yes</x:v>
      </x:c>
      <x:c r="I80" s="17" t="str">
        <x:v>No</x:v>
      </x:c>
      <x:c r="J80" s="17" t="str">
        <x:v>Closed</x:v>
      </x:c>
      <x:c r="K80" s="17" t="str">
        <x:v>L2</x:v>
      </x:c>
    </x:row>
    <x:row r="81">
      <x:c r="A81" s="17" t="str">
        <x:v>T-0080</x:v>
      </x:c>
      <x:c r="B81" s="35" t="d">
        <x:v>2026-04-24T00:00:00.000Z</x:v>
      </x:c>
      <x:c r="C81" s="17" t="str">
        <x:v>Integracja</x:v>
      </x:c>
      <x:c r="D81" s="17" t="str">
        <x:v>Portal</x:v>
      </x:c>
      <x:c r="E81" s="17" t="str">
        <x:v>P3</x:v>
      </x:c>
      <x:c r="F81" s="17" t="str">
        <x:v>Medium</x:v>
      </x:c>
      <x:c r="G81" s="19" t="n">
        <x:v>22.3</x:v>
      </x:c>
      <x:c r="H81" s="17" t="str">
        <x:v>No</x:v>
      </x:c>
      <x:c r="I81" s="17" t="str">
        <x:v>Yes</x:v>
      </x:c>
      <x:c r="J81" s="17" t="str">
        <x:v>Closed</x:v>
      </x:c>
      <x:c r="K81" s="17" t="str">
        <x:v>L2</x:v>
      </x:c>
    </x:row>
    <x:row r="82">
      <x:c r="A82" s="17" t="str">
        <x:v>T-0081</x:v>
      </x:c>
      <x:c r="B82" s="35" t="d">
        <x:v>2026-01-08T00:00:00.000Z</x:v>
      </x:c>
      <x:c r="C82" s="17" t="str">
        <x:v>Aplikacja mobilna</x:v>
      </x:c>
      <x:c r="D82" s="17" t="str">
        <x:v>E-mail</x:v>
      </x:c>
      <x:c r="E82" s="17" t="str">
        <x:v>P4</x:v>
      </x:c>
      <x:c r="F82" s="17" t="str">
        <x:v>Low</x:v>
      </x:c>
      <x:c r="G82" s="19" t="n">
        <x:v>37.3</x:v>
      </x:c>
      <x:c r="H82" s="17" t="str">
        <x:v>No</x:v>
      </x:c>
      <x:c r="I82" s="17" t="str">
        <x:v>No</x:v>
      </x:c>
      <x:c r="J82" s="17" t="str">
        <x:v>Closed</x:v>
      </x:c>
      <x:c r="K82" s="17" t="str">
        <x:v>L2</x:v>
      </x:c>
    </x:row>
    <x:row r="83">
      <x:c r="A83" s="17" t="str">
        <x:v>T-0082</x:v>
      </x:c>
      <x:c r="B83" s="35" t="d">
        <x:v>2026-02-04T00:00:00.000Z</x:v>
      </x:c>
      <x:c r="C83" s="17" t="str">
        <x:v>Płatności</x:v>
      </x:c>
      <x:c r="D83" s="17" t="str">
        <x:v>E-mail</x:v>
      </x:c>
      <x:c r="E83" s="17" t="str">
        <x:v>P2</x:v>
      </x:c>
      <x:c r="F83" s="17" t="str">
        <x:v>High</x:v>
      </x:c>
      <x:c r="G83" s="19" t="n">
        <x:v>15.5</x:v>
      </x:c>
      <x:c r="H83" s="17" t="str">
        <x:v>No</x:v>
      </x:c>
      <x:c r="I83" s="17" t="str">
        <x:v>Yes</x:v>
      </x:c>
      <x:c r="J83" s="17" t="str">
        <x:v>Closed</x:v>
      </x:c>
      <x:c r="K83" s="17" t="str">
        <x:v>L2</x:v>
      </x:c>
    </x:row>
    <x:row r="84">
      <x:c r="A84" s="17" t="str">
        <x:v>T-0083</x:v>
      </x:c>
      <x:c r="B84" s="35" t="d">
        <x:v>2026-03-25T00:00:00.000Z</x:v>
      </x:c>
      <x:c r="C84" s="17" t="str">
        <x:v>Integracja</x:v>
      </x:c>
      <x:c r="D84" s="17" t="str">
        <x:v>E-mail</x:v>
      </x:c>
      <x:c r="E84" s="17" t="str">
        <x:v>P3</x:v>
      </x:c>
      <x:c r="F84" s="17" t="str">
        <x:v>Medium</x:v>
      </x:c>
      <x:c r="G84" s="19" t="n">
        <x:v>24.7</x:v>
      </x:c>
      <x:c r="H84" s="17" t="str">
        <x:v>No</x:v>
      </x:c>
      <x:c r="I84" s="17" t="str">
        <x:v>No</x:v>
      </x:c>
      <x:c r="J84" s="17" t="str">
        <x:v>Closed</x:v>
      </x:c>
      <x:c r="K84" s="17" t="str">
        <x:v>L2</x:v>
      </x:c>
    </x:row>
    <x:row r="85">
      <x:c r="A85" s="17" t="str">
        <x:v>T-0084</x:v>
      </x:c>
      <x:c r="B85" s="35" t="d">
        <x:v>2026-04-09T00:00:00.000Z</x:v>
      </x:c>
      <x:c r="C85" s="17" t="str">
        <x:v>Dostęp</x:v>
      </x:c>
      <x:c r="D85" s="17" t="str">
        <x:v>Telefon</x:v>
      </x:c>
      <x:c r="E85" s="17" t="str">
        <x:v>P3</x:v>
      </x:c>
      <x:c r="F85" s="17" t="str">
        <x:v>Medium</x:v>
      </x:c>
      <x:c r="G85" s="19" t="n">
        <x:v>27.1</x:v>
      </x:c>
      <x:c r="H85" s="17" t="str">
        <x:v>No</x:v>
      </x:c>
      <x:c r="I85" s="17" t="str">
        <x:v>Yes</x:v>
      </x:c>
      <x:c r="J85" s="17" t="str">
        <x:v>Closed</x:v>
      </x:c>
      <x:c r="K85" s="17" t="str">
        <x:v>L1</x:v>
      </x:c>
    </x:row>
    <x:row r="86">
      <x:c r="A86" s="17" t="str">
        <x:v>T-0085</x:v>
      </x:c>
      <x:c r="B86" s="35" t="d">
        <x:v>2026-01-04T00:00:00.000Z</x:v>
      </x:c>
      <x:c r="C86" s="17" t="str">
        <x:v>Płatności</x:v>
      </x:c>
      <x:c r="D86" s="17" t="str">
        <x:v>Portal</x:v>
      </x:c>
      <x:c r="E86" s="17" t="str">
        <x:v>P3</x:v>
      </x:c>
      <x:c r="F86" s="17" t="str">
        <x:v>Medium</x:v>
      </x:c>
      <x:c r="G86" s="19" t="n">
        <x:v>22.9</x:v>
      </x:c>
      <x:c r="H86" s="17" t="str">
        <x:v>No</x:v>
      </x:c>
      <x:c r="I86" s="17" t="str">
        <x:v>No</x:v>
      </x:c>
      <x:c r="J86" s="17" t="str">
        <x:v>Closed</x:v>
      </x:c>
      <x:c r="K86" s="17" t="str">
        <x:v>L1</x:v>
      </x:c>
    </x:row>
    <x:row r="87">
      <x:c r="A87" s="17" t="str">
        <x:v>T-0086</x:v>
      </x:c>
      <x:c r="B87" s="35" t="d">
        <x:v>2026-02-16T00:00:00.000Z</x:v>
      </x:c>
      <x:c r="C87" s="17" t="str">
        <x:v>Płatności</x:v>
      </x:c>
      <x:c r="D87" s="17" t="str">
        <x:v>E-mail</x:v>
      </x:c>
      <x:c r="E87" s="17" t="str">
        <x:v>P1</x:v>
      </x:c>
      <x:c r="F87" s="17" t="str">
        <x:v>Critical</x:v>
      </x:c>
      <x:c r="G87" s="19" t="n">
        <x:v>3</x:v>
      </x:c>
      <x:c r="H87" s="17" t="str">
        <x:v>Yes</x:v>
      </x:c>
      <x:c r="I87" s="17" t="str">
        <x:v>No</x:v>
      </x:c>
      <x:c r="J87" s="17" t="str">
        <x:v>Closed</x:v>
      </x:c>
      <x:c r="K87" s="17" t="str">
        <x:v>L1</x:v>
      </x:c>
    </x:row>
    <x:row r="88">
      <x:c r="A88" s="17" t="str">
        <x:v>T-0087</x:v>
      </x:c>
      <x:c r="B88" s="35" t="d">
        <x:v>2026-03-14T00:00:00.000Z</x:v>
      </x:c>
      <x:c r="C88" s="17" t="str">
        <x:v>Raporty</x:v>
      </x:c>
      <x:c r="D88" s="17" t="str">
        <x:v>E-mail</x:v>
      </x:c>
      <x:c r="E88" s="17" t="str">
        <x:v>P3</x:v>
      </x:c>
      <x:c r="F88" s="17" t="str">
        <x:v>Medium</x:v>
      </x:c>
      <x:c r="G88" s="19" t="n">
        <x:v>17.9</x:v>
      </x:c>
      <x:c r="H88" s="17" t="str">
        <x:v>No</x:v>
      </x:c>
      <x:c r="I88" s="17" t="str">
        <x:v>No</x:v>
      </x:c>
      <x:c r="J88" s="17" t="str">
        <x:v>Closed</x:v>
      </x:c>
      <x:c r="K88" s="17" t="str">
        <x:v>L2</x:v>
      </x:c>
    </x:row>
    <x:row r="89">
      <x:c r="A89" s="17" t="str">
        <x:v>T-0088</x:v>
      </x:c>
      <x:c r="B89" s="35" t="d">
        <x:v>2026-04-04T00:00:00.000Z</x:v>
      </x:c>
      <x:c r="C89" s="17" t="str">
        <x:v>Raporty</x:v>
      </x:c>
      <x:c r="D89" s="17" t="str">
        <x:v>Portal</x:v>
      </x:c>
      <x:c r="E89" s="17" t="str">
        <x:v>P4</x:v>
      </x:c>
      <x:c r="F89" s="17" t="str">
        <x:v>Low</x:v>
      </x:c>
      <x:c r="G89" s="19" t="n">
        <x:v>29.4</x:v>
      </x:c>
      <x:c r="H89" s="17" t="str">
        <x:v>No</x:v>
      </x:c>
      <x:c r="I89" s="17" t="str">
        <x:v>No</x:v>
      </x:c>
      <x:c r="J89" s="17" t="str">
        <x:v>Closed</x:v>
      </x:c>
      <x:c r="K89" s="17" t="str">
        <x:v>L2</x:v>
      </x:c>
    </x:row>
    <x:row r="90">
      <x:c r="A90" s="17" t="str">
        <x:v>T-0089</x:v>
      </x:c>
      <x:c r="B90" s="35" t="d">
        <x:v>2026-01-08T00:00:00.000Z</x:v>
      </x:c>
      <x:c r="C90" s="17" t="str">
        <x:v>Płatności</x:v>
      </x:c>
      <x:c r="D90" s="17" t="str">
        <x:v>Telefon</x:v>
      </x:c>
      <x:c r="E90" s="17" t="str">
        <x:v>P2</x:v>
      </x:c>
      <x:c r="F90" s="17" t="str">
        <x:v>High</x:v>
      </x:c>
      <x:c r="G90" s="19" t="n">
        <x:v>7.4</x:v>
      </x:c>
      <x:c r="H90" s="17" t="str">
        <x:v>Yes</x:v>
      </x:c>
      <x:c r="I90" s="17" t="str">
        <x:v>No</x:v>
      </x:c>
      <x:c r="J90" s="17" t="str">
        <x:v>Closed</x:v>
      </x:c>
      <x:c r="K90" s="17" t="str">
        <x:v>L2</x:v>
      </x:c>
    </x:row>
    <x:row r="91">
      <x:c r="A91" s="17" t="str">
        <x:v>T-0090</x:v>
      </x:c>
      <x:c r="B91" s="35" t="d">
        <x:v>2026-02-06T00:00:00.000Z</x:v>
      </x:c>
      <x:c r="C91" s="17" t="str">
        <x:v>Raporty</x:v>
      </x:c>
      <x:c r="D91" s="17" t="str">
        <x:v>Telefon</x:v>
      </x:c>
      <x:c r="E91" s="17" t="str">
        <x:v>P3</x:v>
      </x:c>
      <x:c r="F91" s="17" t="str">
        <x:v>Medium</x:v>
      </x:c>
      <x:c r="G91" s="19" t="n">
        <x:v>19.7</x:v>
      </x:c>
      <x:c r="H91" s="17" t="str">
        <x:v>No</x:v>
      </x:c>
      <x:c r="I91" s="17" t="str">
        <x:v>No</x:v>
      </x:c>
      <x:c r="J91" s="17" t="str">
        <x:v>Closed</x:v>
      </x:c>
      <x:c r="K91" s="17" t="str">
        <x:v>L1</x:v>
      </x:c>
    </x:row>
    <x:row r="92">
      <x:c r="A92" s="17" t="str">
        <x:v>T-0091</x:v>
      </x:c>
      <x:c r="B92" s="35" t="d">
        <x:v>2026-03-27T00:00:00.000Z</x:v>
      </x:c>
      <x:c r="C92" s="17" t="str">
        <x:v>Integracja</x:v>
      </x:c>
      <x:c r="D92" s="17" t="str">
        <x:v>E-mail</x:v>
      </x:c>
      <x:c r="E92" s="17" t="str">
        <x:v>P3</x:v>
      </x:c>
      <x:c r="F92" s="17" t="str">
        <x:v>Medium</x:v>
      </x:c>
      <x:c r="G92" s="19"/>
      <x:c r="H92" s="17" t="str">
        <x:v>Yes</x:v>
      </x:c>
      <x:c r="I92" s="17" t="str">
        <x:v>No</x:v>
      </x:c>
      <x:c r="J92" s="17" t="str">
        <x:v>Open</x:v>
      </x:c>
      <x:c r="K92" s="17" t="str">
        <x:v>L2</x:v>
      </x:c>
    </x:row>
    <x:row r="93">
      <x:c r="A93" s="17" t="str">
        <x:v>T-0092</x:v>
      </x:c>
      <x:c r="B93" s="35" t="d">
        <x:v>2026-04-25T00:00:00.000Z</x:v>
      </x:c>
      <x:c r="C93" s="17" t="str">
        <x:v>Konto użytkownika</x:v>
      </x:c>
      <x:c r="D93" s="17" t="str">
        <x:v>E-mail</x:v>
      </x:c>
      <x:c r="E93" s="17" t="str">
        <x:v>P3</x:v>
      </x:c>
      <x:c r="F93" s="17" t="str">
        <x:v>Medium</x:v>
      </x:c>
      <x:c r="G93" s="19" t="n">
        <x:v>22.7</x:v>
      </x:c>
      <x:c r="H93" s="17" t="str">
        <x:v>No</x:v>
      </x:c>
      <x:c r="I93" s="17" t="str">
        <x:v>No</x:v>
      </x:c>
      <x:c r="J93" s="17" t="str">
        <x:v>Closed</x:v>
      </x:c>
      <x:c r="K93" s="17" t="str">
        <x:v>L2</x:v>
      </x:c>
    </x:row>
    <x:row r="94">
      <x:c r="A94" s="17" t="str">
        <x:v>T-0093</x:v>
      </x:c>
      <x:c r="B94" s="35" t="d">
        <x:v>2026-01-24T00:00:00.000Z</x:v>
      </x:c>
      <x:c r="C94" s="17" t="str">
        <x:v>Integracja</x:v>
      </x:c>
      <x:c r="D94" s="17" t="str">
        <x:v>Telefon</x:v>
      </x:c>
      <x:c r="E94" s="17" t="str">
        <x:v>P3</x:v>
      </x:c>
      <x:c r="F94" s="17" t="str">
        <x:v>Medium</x:v>
      </x:c>
      <x:c r="G94" s="19" t="n">
        <x:v>18.5</x:v>
      </x:c>
      <x:c r="H94" s="17" t="str">
        <x:v>No</x:v>
      </x:c>
      <x:c r="I94" s="17" t="str">
        <x:v>Yes</x:v>
      </x:c>
      <x:c r="J94" s="17" t="str">
        <x:v>Closed</x:v>
      </x:c>
      <x:c r="K94" s="17" t="str">
        <x:v>L2</x:v>
      </x:c>
    </x:row>
    <x:row r="95">
      <x:c r="A95" s="17" t="str">
        <x:v>T-0094</x:v>
      </x:c>
      <x:c r="B95" s="35" t="d">
        <x:v>2026-02-17T00:00:00.000Z</x:v>
      </x:c>
      <x:c r="C95" s="17" t="str">
        <x:v>Dostęp</x:v>
      </x:c>
      <x:c r="D95" s="17" t="str">
        <x:v>E-mail</x:v>
      </x:c>
      <x:c r="E95" s="17" t="str">
        <x:v>P3</x:v>
      </x:c>
      <x:c r="F95" s="17" t="str">
        <x:v>Medium</x:v>
      </x:c>
      <x:c r="G95" s="19" t="n">
        <x:v>24.3</x:v>
      </x:c>
      <x:c r="H95" s="17" t="str">
        <x:v>No</x:v>
      </x:c>
      <x:c r="I95" s="17" t="str">
        <x:v>No</x:v>
      </x:c>
      <x:c r="J95" s="17" t="str">
        <x:v>Closed</x:v>
      </x:c>
      <x:c r="K95" s="17" t="str">
        <x:v>L2</x:v>
      </x:c>
    </x:row>
    <x:row r="96">
      <x:c r="A96" s="17" t="str">
        <x:v>T-0095</x:v>
      </x:c>
      <x:c r="B96" s="35" t="d">
        <x:v>2026-03-13T00:00:00.000Z</x:v>
      </x:c>
      <x:c r="C96" s="17" t="str">
        <x:v>Integracja</x:v>
      </x:c>
      <x:c r="D96" s="17" t="str">
        <x:v>E-mail</x:v>
      </x:c>
      <x:c r="E96" s="17" t="str">
        <x:v>P2</x:v>
      </x:c>
      <x:c r="F96" s="17" t="str">
        <x:v>High</x:v>
      </x:c>
      <x:c r="G96" s="19" t="n">
        <x:v>18.3</x:v>
      </x:c>
      <x:c r="H96" s="17" t="str">
        <x:v>No</x:v>
      </x:c>
      <x:c r="I96" s="17" t="str">
        <x:v>No</x:v>
      </x:c>
      <x:c r="J96" s="17" t="str">
        <x:v>Closed</x:v>
      </x:c>
      <x:c r="K96" s="17" t="str">
        <x:v>L2</x:v>
      </x:c>
    </x:row>
    <x:row r="97">
      <x:c r="A97" s="17" t="str">
        <x:v>T-0096</x:v>
      </x:c>
      <x:c r="B97" s="35" t="d">
        <x:v>2026-04-21T00:00:00.000Z</x:v>
      </x:c>
      <x:c r="C97" s="17" t="str">
        <x:v>Konto użytkownika</x:v>
      </x:c>
      <x:c r="D97" s="17" t="str">
        <x:v>E-mail</x:v>
      </x:c>
      <x:c r="E97" s="17" t="str">
        <x:v>P2</x:v>
      </x:c>
      <x:c r="F97" s="17" t="str">
        <x:v>High</x:v>
      </x:c>
      <x:c r="G97" s="19" t="n">
        <x:v>10.7</x:v>
      </x:c>
      <x:c r="H97" s="17" t="str">
        <x:v>No</x:v>
      </x:c>
      <x:c r="I97" s="17" t="str">
        <x:v>No</x:v>
      </x:c>
      <x:c r="J97" s="17" t="str">
        <x:v>Closed</x:v>
      </x:c>
      <x:c r="K97" s="17" t="str">
        <x:v>L1</x:v>
      </x:c>
    </x:row>
    <x:row r="98">
      <x:c r="A98" s="17" t="str">
        <x:v>T-0097</x:v>
      </x:c>
      <x:c r="B98" s="35" t="d">
        <x:v>2026-01-09T00:00:00.000Z</x:v>
      </x:c>
      <x:c r="C98" s="17" t="str">
        <x:v>Raporty</x:v>
      </x:c>
      <x:c r="D98" s="17" t="str">
        <x:v>E-mail</x:v>
      </x:c>
      <x:c r="E98" s="17" t="str">
        <x:v>P3</x:v>
      </x:c>
      <x:c r="F98" s="17" t="str">
        <x:v>Medium</x:v>
      </x:c>
      <x:c r="G98" s="19" t="n">
        <x:v>21.7</x:v>
      </x:c>
      <x:c r="H98" s="17" t="str">
        <x:v>Yes</x:v>
      </x:c>
      <x:c r="I98" s="17" t="str">
        <x:v>Yes</x:v>
      </x:c>
      <x:c r="J98" s="17" t="str">
        <x:v>Closed</x:v>
      </x:c>
      <x:c r="K98" s="17" t="str">
        <x:v>L2</x:v>
      </x:c>
    </x:row>
    <x:row r="99">
      <x:c r="A99" s="17" t="str">
        <x:v>T-0098</x:v>
      </x:c>
      <x:c r="B99" s="35" t="d">
        <x:v>2026-02-13T00:00:00.000Z</x:v>
      </x:c>
      <x:c r="C99" s="17" t="str">
        <x:v>Integracja</x:v>
      </x:c>
      <x:c r="D99" s="17" t="str">
        <x:v>E-mail</x:v>
      </x:c>
      <x:c r="E99" s="17" t="str">
        <x:v>P3</x:v>
      </x:c>
      <x:c r="F99" s="17" t="str">
        <x:v>Medium</x:v>
      </x:c>
      <x:c r="G99" s="19" t="n">
        <x:v>18</x:v>
      </x:c>
      <x:c r="H99" s="17" t="str">
        <x:v>No</x:v>
      </x:c>
      <x:c r="I99" s="17" t="str">
        <x:v>No</x:v>
      </x:c>
      <x:c r="J99" s="17" t="str">
        <x:v>Closed</x:v>
      </x:c>
      <x:c r="K99" s="17" t="str">
        <x:v>L2</x:v>
      </x:c>
    </x:row>
    <x:row r="100">
      <x:c r="A100" s="17" t="str">
        <x:v>T-0099</x:v>
      </x:c>
      <x:c r="B100" s="35" t="d">
        <x:v>2026-03-02T00:00:00.000Z</x:v>
      </x:c>
      <x:c r="C100" s="17" t="str">
        <x:v>Dostęp</x:v>
      </x:c>
      <x:c r="D100" s="17" t="str">
        <x:v>Portal</x:v>
      </x:c>
      <x:c r="E100" s="17" t="str">
        <x:v>P4</x:v>
      </x:c>
      <x:c r="F100" s="17" t="str">
        <x:v>Low</x:v>
      </x:c>
      <x:c r="G100" s="19" t="n">
        <x:v>36.7</x:v>
      </x:c>
      <x:c r="H100" s="17" t="str">
        <x:v>No</x:v>
      </x:c>
      <x:c r="I100" s="17" t="str">
        <x:v>Yes</x:v>
      </x:c>
      <x:c r="J100" s="17" t="str">
        <x:v>Closed</x:v>
      </x:c>
      <x:c r="K100" s="17" t="str">
        <x:v>L2</x:v>
      </x:c>
    </x:row>
    <x:row r="101">
      <x:c r="A101" s="17" t="str">
        <x:v>T-0100</x:v>
      </x:c>
      <x:c r="B101" s="35" t="d">
        <x:v>2026-04-09T00:00:00.000Z</x:v>
      </x:c>
      <x:c r="C101" s="17" t="str">
        <x:v>Integracja</x:v>
      </x:c>
      <x:c r="D101" s="17" t="str">
        <x:v>Portal</x:v>
      </x:c>
      <x:c r="E101" s="17" t="str">
        <x:v>P3</x:v>
      </x:c>
      <x:c r="F101" s="17" t="str">
        <x:v>Medium</x:v>
      </x:c>
      <x:c r="G101" s="19" t="n">
        <x:v>24.4</x:v>
      </x:c>
      <x:c r="H101" s="17" t="str">
        <x:v>No</x:v>
      </x:c>
      <x:c r="I101" s="17" t="str">
        <x:v>No</x:v>
      </x:c>
      <x:c r="J101" s="17" t="str">
        <x:v>Closed</x:v>
      </x:c>
      <x:c r="K101" s="17" t="str">
        <x:v>L1</x:v>
      </x:c>
    </x:row>
    <x:row r="102">
      <x:c r="A102" s="17" t="str">
        <x:v>T-0101</x:v>
      </x:c>
      <x:c r="B102" s="35" t="d">
        <x:v>2026-01-18T00:00:00.000Z</x:v>
      </x:c>
      <x:c r="C102" s="17" t="str">
        <x:v>Integracja</x:v>
      </x:c>
      <x:c r="D102" s="17" t="str">
        <x:v>E-mail</x:v>
      </x:c>
      <x:c r="E102" s="17" t="str">
        <x:v>P4</x:v>
      </x:c>
      <x:c r="F102" s="17" t="str">
        <x:v>Low</x:v>
      </x:c>
      <x:c r="G102" s="19" t="n">
        <x:v>33.5</x:v>
      </x:c>
      <x:c r="H102" s="17" t="str">
        <x:v>No</x:v>
      </x:c>
      <x:c r="I102" s="17" t="str">
        <x:v>Yes</x:v>
      </x:c>
      <x:c r="J102" s="17" t="str">
        <x:v>Closed</x:v>
      </x:c>
      <x:c r="K102" s="17" t="str">
        <x:v>L1</x:v>
      </x:c>
    </x:row>
    <x:row r="103">
      <x:c r="A103" s="17" t="str">
        <x:v>T-0102</x:v>
      </x:c>
      <x:c r="B103" s="35" t="d">
        <x:v>2026-02-04T00:00:00.000Z</x:v>
      </x:c>
      <x:c r="C103" s="17" t="str">
        <x:v>Konto użytkownika</x:v>
      </x:c>
      <x:c r="D103" s="17" t="str">
        <x:v>E-mail</x:v>
      </x:c>
      <x:c r="E103" s="17" t="str">
        <x:v>P3</x:v>
      </x:c>
      <x:c r="F103" s="17" t="str">
        <x:v>Medium</x:v>
      </x:c>
      <x:c r="G103" s="19" t="n">
        <x:v>28.5</x:v>
      </x:c>
      <x:c r="H103" s="17" t="str">
        <x:v>No</x:v>
      </x:c>
      <x:c r="I103" s="17" t="str">
        <x:v>No</x:v>
      </x:c>
      <x:c r="J103" s="17" t="str">
        <x:v>Closed</x:v>
      </x:c>
      <x:c r="K103" s="17" t="str">
        <x:v>L2</x:v>
      </x:c>
    </x:row>
    <x:row r="104">
      <x:c r="A104" s="17" t="str">
        <x:v>T-0103</x:v>
      </x:c>
      <x:c r="B104" s="35" t="d">
        <x:v>2026-03-22T00:00:00.000Z</x:v>
      </x:c>
      <x:c r="C104" s="17" t="str">
        <x:v>Integracja</x:v>
      </x:c>
      <x:c r="D104" s="17" t="str">
        <x:v>Portal</x:v>
      </x:c>
      <x:c r="E104" s="17" t="str">
        <x:v>P2</x:v>
      </x:c>
      <x:c r="F104" s="17" t="str">
        <x:v>High</x:v>
      </x:c>
      <x:c r="G104" s="19" t="n">
        <x:v>18.8</x:v>
      </x:c>
      <x:c r="H104" s="17" t="str">
        <x:v>Yes</x:v>
      </x:c>
      <x:c r="I104" s="17" t="str">
        <x:v>Yes</x:v>
      </x:c>
      <x:c r="J104" s="17" t="str">
        <x:v>Closed</x:v>
      </x:c>
      <x:c r="K104" s="17" t="str">
        <x:v>L2</x:v>
      </x:c>
    </x:row>
    <x:row r="105">
      <x:c r="A105" s="17" t="str">
        <x:v>T-0104</x:v>
      </x:c>
      <x:c r="B105" s="35" t="d">
        <x:v>2026-04-11T00:00:00.000Z</x:v>
      </x:c>
      <x:c r="C105" s="17" t="str">
        <x:v>Płatności</x:v>
      </x:c>
      <x:c r="D105" s="17" t="str">
        <x:v>E-mail</x:v>
      </x:c>
      <x:c r="E105" s="17" t="str">
        <x:v>P3</x:v>
      </x:c>
      <x:c r="F105" s="17" t="str">
        <x:v>Medium</x:v>
      </x:c>
      <x:c r="G105" s="19"/>
      <x:c r="H105" s="17" t="str">
        <x:v>No</x:v>
      </x:c>
      <x:c r="I105" s="17" t="str">
        <x:v>No</x:v>
      </x:c>
      <x:c r="J105" s="17" t="str">
        <x:v>Open</x:v>
      </x:c>
      <x:c r="K105" s="17" t="str">
        <x:v>L1</x:v>
      </x:c>
    </x:row>
    <x:row r="106">
      <x:c r="A106" s="17" t="str">
        <x:v>T-0105</x:v>
      </x:c>
      <x:c r="B106" s="35" t="d">
        <x:v>2026-01-04T00:00:00.000Z</x:v>
      </x:c>
      <x:c r="C106" s="17" t="str">
        <x:v>Dostęp</x:v>
      </x:c>
      <x:c r="D106" s="17" t="str">
        <x:v>Telefon</x:v>
      </x:c>
      <x:c r="E106" s="17" t="str">
        <x:v>P4</x:v>
      </x:c>
      <x:c r="F106" s="17" t="str">
        <x:v>Low</x:v>
      </x:c>
      <x:c r="G106" s="19" t="n">
        <x:v>26.7</x:v>
      </x:c>
      <x:c r="H106" s="17" t="str">
        <x:v>No</x:v>
      </x:c>
      <x:c r="I106" s="17" t="str">
        <x:v>Yes</x:v>
      </x:c>
      <x:c r="J106" s="17" t="str">
        <x:v>Closed</x:v>
      </x:c>
      <x:c r="K106" s="17" t="str">
        <x:v>L1</x:v>
      </x:c>
    </x:row>
    <x:row r="107">
      <x:c r="A107" s="17" t="str">
        <x:v>T-0106</x:v>
      </x:c>
      <x:c r="B107" s="35" t="d">
        <x:v>2026-02-25T00:00:00.000Z</x:v>
      </x:c>
      <x:c r="C107" s="17" t="str">
        <x:v>Płatności</x:v>
      </x:c>
      <x:c r="D107" s="17" t="str">
        <x:v>Portal</x:v>
      </x:c>
      <x:c r="E107" s="17" t="str">
        <x:v>P1</x:v>
      </x:c>
      <x:c r="F107" s="17" t="str">
        <x:v>Critical</x:v>
      </x:c>
      <x:c r="G107" s="19" t="n">
        <x:v>16</x:v>
      </x:c>
      <x:c r="H107" s="17" t="str">
        <x:v>Yes</x:v>
      </x:c>
      <x:c r="I107" s="17" t="str">
        <x:v>No</x:v>
      </x:c>
      <x:c r="J107" s="17" t="str">
        <x:v>Closed</x:v>
      </x:c>
      <x:c r="K107" s="17" t="str">
        <x:v>L2</x:v>
      </x:c>
    </x:row>
    <x:row r="108">
      <x:c r="A108" s="17" t="str">
        <x:v>T-0107</x:v>
      </x:c>
      <x:c r="B108" s="35" t="d">
        <x:v>2026-03-10T00:00:00.000Z</x:v>
      </x:c>
      <x:c r="C108" s="17" t="str">
        <x:v>Integracja</x:v>
      </x:c>
      <x:c r="D108" s="17" t="str">
        <x:v>E-mail</x:v>
      </x:c>
      <x:c r="E108" s="17" t="str">
        <x:v>P3</x:v>
      </x:c>
      <x:c r="F108" s="17" t="str">
        <x:v>Medium</x:v>
      </x:c>
      <x:c r="G108" s="19" t="n">
        <x:v>30.9</x:v>
      </x:c>
      <x:c r="H108" s="17" t="str">
        <x:v>No</x:v>
      </x:c>
      <x:c r="I108" s="17" t="str">
        <x:v>Yes</x:v>
      </x:c>
      <x:c r="J108" s="17" t="str">
        <x:v>Closed</x:v>
      </x:c>
      <x:c r="K108" s="17" t="str">
        <x:v>L2</x:v>
      </x:c>
    </x:row>
    <x:row r="109">
      <x:c r="A109" s="17" t="str">
        <x:v>T-0108</x:v>
      </x:c>
      <x:c r="B109" s="35" t="d">
        <x:v>2026-04-23T00:00:00.000Z</x:v>
      </x:c>
      <x:c r="C109" s="17" t="str">
        <x:v>Płatności</x:v>
      </x:c>
      <x:c r="D109" s="17" t="str">
        <x:v>E-mail</x:v>
      </x:c>
      <x:c r="E109" s="17" t="str">
        <x:v>P3</x:v>
      </x:c>
      <x:c r="F109" s="17" t="str">
        <x:v>Medium</x:v>
      </x:c>
      <x:c r="G109" s="19" t="n">
        <x:v>23.8</x:v>
      </x:c>
      <x:c r="H109" s="17" t="str">
        <x:v>No</x:v>
      </x:c>
      <x:c r="I109" s="17" t="str">
        <x:v>Yes</x:v>
      </x:c>
      <x:c r="J109" s="17" t="str">
        <x:v>Closed</x:v>
      </x:c>
      <x:c r="K109" s="17" t="str">
        <x:v>L2</x:v>
      </x:c>
    </x:row>
    <x:row r="110">
      <x:c r="A110" s="17" t="str">
        <x:v>T-0109</x:v>
      </x:c>
      <x:c r="B110" s="35" t="d">
        <x:v>2026-01-23T00:00:00.000Z</x:v>
      </x:c>
      <x:c r="C110" s="17" t="str">
        <x:v>Dostęp</x:v>
      </x:c>
      <x:c r="D110" s="17" t="str">
        <x:v>E-mail</x:v>
      </x:c>
      <x:c r="E110" s="17" t="str">
        <x:v>P4</x:v>
      </x:c>
      <x:c r="F110" s="17" t="str">
        <x:v>Low</x:v>
      </x:c>
      <x:c r="G110" s="19" t="n">
        <x:v>25.9</x:v>
      </x:c>
      <x:c r="H110" s="17" t="str">
        <x:v>No</x:v>
      </x:c>
      <x:c r="I110" s="17" t="str">
        <x:v>No</x:v>
      </x:c>
      <x:c r="J110" s="17" t="str">
        <x:v>Closed</x:v>
      </x:c>
      <x:c r="K110" s="17" t="str">
        <x:v>L2</x:v>
      </x:c>
    </x:row>
    <x:row r="111">
      <x:c r="A111" s="17" t="str">
        <x:v>T-0110</x:v>
      </x:c>
      <x:c r="B111" s="35" t="d">
        <x:v>2026-02-20T00:00:00.000Z</x:v>
      </x:c>
      <x:c r="C111" s="17" t="str">
        <x:v>Dostęp</x:v>
      </x:c>
      <x:c r="D111" s="17" t="str">
        <x:v>Telefon</x:v>
      </x:c>
      <x:c r="E111" s="17" t="str">
        <x:v>P4</x:v>
      </x:c>
      <x:c r="F111" s="17" t="str">
        <x:v>Low</x:v>
      </x:c>
      <x:c r="G111" s="19" t="n">
        <x:v>28.6</x:v>
      </x:c>
      <x:c r="H111" s="17" t="str">
        <x:v>No</x:v>
      </x:c>
      <x:c r="I111" s="17" t="str">
        <x:v>No</x:v>
      </x:c>
      <x:c r="J111" s="17" t="str">
        <x:v>Closed</x:v>
      </x:c>
      <x:c r="K111" s="17" t="str">
        <x:v>L2</x:v>
      </x:c>
    </x:row>
    <x:row r="112">
      <x:c r="A112" s="17" t="str">
        <x:v>T-0111</x:v>
      </x:c>
      <x:c r="B112" s="35" t="d">
        <x:v>2026-03-25T00:00:00.000Z</x:v>
      </x:c>
      <x:c r="C112" s="17" t="str">
        <x:v>Aplikacja mobilna</x:v>
      </x:c>
      <x:c r="D112" s="17" t="str">
        <x:v>E-mail</x:v>
      </x:c>
      <x:c r="E112" s="17" t="str">
        <x:v>P2</x:v>
      </x:c>
      <x:c r="F112" s="17" t="str">
        <x:v>High</x:v>
      </x:c>
      <x:c r="G112" s="19" t="n">
        <x:v>10.1</x:v>
      </x:c>
      <x:c r="H112" s="17" t="str">
        <x:v>No</x:v>
      </x:c>
      <x:c r="I112" s="17" t="str">
        <x:v>No</x:v>
      </x:c>
      <x:c r="J112" s="17" t="str">
        <x:v>Closed</x:v>
      </x:c>
      <x:c r="K112" s="17" t="str">
        <x:v>L2</x:v>
      </x:c>
    </x:row>
    <x:row r="113">
      <x:c r="A113" s="17" t="str">
        <x:v>T-0112</x:v>
      </x:c>
      <x:c r="B113" s="35" t="d">
        <x:v>2026-04-20T00:00:00.000Z</x:v>
      </x:c>
      <x:c r="C113" s="17" t="str">
        <x:v>Raporty</x:v>
      </x:c>
      <x:c r="D113" s="17" t="str">
        <x:v>Portal</x:v>
      </x:c>
      <x:c r="E113" s="17" t="str">
        <x:v>P4</x:v>
      </x:c>
      <x:c r="F113" s="17" t="str">
        <x:v>Low</x:v>
      </x:c>
      <x:c r="G113" s="19" t="n">
        <x:v>37.2</x:v>
      </x:c>
      <x:c r="H113" s="17" t="str">
        <x:v>No</x:v>
      </x:c>
      <x:c r="I113" s="17" t="str">
        <x:v>No</x:v>
      </x:c>
      <x:c r="J113" s="17" t="str">
        <x:v>Closed</x:v>
      </x:c>
      <x:c r="K113" s="17" t="str">
        <x:v>L1</x:v>
      </x:c>
    </x:row>
    <x:row r="114">
      <x:c r="A114" s="17" t="str">
        <x:v>T-0113</x:v>
      </x:c>
      <x:c r="B114" s="35" t="d">
        <x:v>2026-01-09T00:00:00.000Z</x:v>
      </x:c>
      <x:c r="C114" s="17" t="str">
        <x:v>Raporty</x:v>
      </x:c>
      <x:c r="D114" s="17" t="str">
        <x:v>E-mail</x:v>
      </x:c>
      <x:c r="E114" s="17" t="str">
        <x:v>P3</x:v>
      </x:c>
      <x:c r="F114" s="17" t="str">
        <x:v>Medium</x:v>
      </x:c>
      <x:c r="G114" s="19" t="n">
        <x:v>25.9</x:v>
      </x:c>
      <x:c r="H114" s="17" t="str">
        <x:v>No</x:v>
      </x:c>
      <x:c r="I114" s="17" t="str">
        <x:v>No</x:v>
      </x:c>
      <x:c r="J114" s="17" t="str">
        <x:v>Closed</x:v>
      </x:c>
      <x:c r="K114" s="17" t="str">
        <x:v>L1</x:v>
      </x:c>
    </x:row>
    <x:row r="115">
      <x:c r="A115" s="17" t="str">
        <x:v>T-0114</x:v>
      </x:c>
      <x:c r="B115" s="35" t="d">
        <x:v>2026-02-11T00:00:00.000Z</x:v>
      </x:c>
      <x:c r="C115" s="17" t="str">
        <x:v>Konto użytkownika</x:v>
      </x:c>
      <x:c r="D115" s="17" t="str">
        <x:v>Portal</x:v>
      </x:c>
      <x:c r="E115" s="17" t="str">
        <x:v>P2</x:v>
      </x:c>
      <x:c r="F115" s="17" t="str">
        <x:v>High</x:v>
      </x:c>
      <x:c r="G115" s="19" t="n">
        <x:v>22.9</x:v>
      </x:c>
      <x:c r="H115" s="17" t="str">
        <x:v>No</x:v>
      </x:c>
      <x:c r="I115" s="17" t="str">
        <x:v>Yes</x:v>
      </x:c>
      <x:c r="J115" s="17" t="str">
        <x:v>Closed</x:v>
      </x:c>
      <x:c r="K115" s="17" t="str">
        <x:v>L2</x:v>
      </x:c>
    </x:row>
    <x:row r="116">
      <x:c r="A116" s="17" t="str">
        <x:v>T-0115</x:v>
      </x:c>
      <x:c r="B116" s="35" t="d">
        <x:v>2026-03-04T00:00:00.000Z</x:v>
      </x:c>
      <x:c r="C116" s="17" t="str">
        <x:v>Aplikacja mobilna</x:v>
      </x:c>
      <x:c r="D116" s="17" t="str">
        <x:v>E-mail</x:v>
      </x:c>
      <x:c r="E116" s="17" t="str">
        <x:v>P1</x:v>
      </x:c>
      <x:c r="F116" s="17" t="str">
        <x:v>Critical</x:v>
      </x:c>
      <x:c r="G116" s="19" t="n">
        <x:v>4.4</x:v>
      </x:c>
      <x:c r="H116" s="17" t="str">
        <x:v>Yes</x:v>
      </x:c>
      <x:c r="I116" s="17" t="str">
        <x:v>Yes</x:v>
      </x:c>
      <x:c r="J116" s="17" t="str">
        <x:v>Closed</x:v>
      </x:c>
      <x:c r="K116" s="17" t="str">
        <x:v>L2</x:v>
      </x:c>
    </x:row>
    <x:row r="117">
      <x:c r="A117" s="17" t="str">
        <x:v>T-0116</x:v>
      </x:c>
      <x:c r="B117" s="35" t="d">
        <x:v>2026-04-16T00:00:00.000Z</x:v>
      </x:c>
      <x:c r="C117" s="17" t="str">
        <x:v>Konto użytkownika</x:v>
      </x:c>
      <x:c r="D117" s="17" t="str">
        <x:v>E-mail</x:v>
      </x:c>
      <x:c r="E117" s="17" t="str">
        <x:v>P3</x:v>
      </x:c>
      <x:c r="F117" s="17" t="str">
        <x:v>Medium</x:v>
      </x:c>
      <x:c r="G117" s="19" t="n">
        <x:v>19.2</x:v>
      </x:c>
      <x:c r="H117" s="17" t="str">
        <x:v>Yes</x:v>
      </x:c>
      <x:c r="I117" s="17" t="str">
        <x:v>No</x:v>
      </x:c>
      <x:c r="J117" s="17" t="str">
        <x:v>Closed</x:v>
      </x:c>
      <x:c r="K117" s="17" t="str">
        <x:v>L1</x:v>
      </x:c>
    </x:row>
    <x:row r="118">
      <x:c r="A118" s="17" t="str">
        <x:v>T-0117</x:v>
      </x:c>
      <x:c r="B118" s="35" t="d">
        <x:v>2026-01-20T00:00:00.000Z</x:v>
      </x:c>
      <x:c r="C118" s="17" t="str">
        <x:v>Raporty</x:v>
      </x:c>
      <x:c r="D118" s="17" t="str">
        <x:v>E-mail</x:v>
      </x:c>
      <x:c r="E118" s="17" t="str">
        <x:v>P3</x:v>
      </x:c>
      <x:c r="F118" s="17" t="str">
        <x:v>Medium</x:v>
      </x:c>
      <x:c r="G118" s="19"/>
      <x:c r="H118" s="17" t="str">
        <x:v>No</x:v>
      </x:c>
      <x:c r="I118" s="17" t="str">
        <x:v>No</x:v>
      </x:c>
      <x:c r="J118" s="17" t="str">
        <x:v>Open</x:v>
      </x:c>
      <x:c r="K118" s="17" t="str">
        <x:v>L1</x:v>
      </x:c>
    </x:row>
    <x:row r="119">
      <x:c r="A119" s="17" t="str">
        <x:v>T-0118</x:v>
      </x:c>
      <x:c r="B119" s="35" t="d">
        <x:v>2026-02-11T00:00:00.000Z</x:v>
      </x:c>
      <x:c r="C119" s="17" t="str">
        <x:v>Integracja</x:v>
      </x:c>
      <x:c r="D119" s="17" t="str">
        <x:v>Telefon</x:v>
      </x:c>
      <x:c r="E119" s="17" t="str">
        <x:v>P3</x:v>
      </x:c>
      <x:c r="F119" s="17" t="str">
        <x:v>Medium</x:v>
      </x:c>
      <x:c r="G119" s="19" t="n">
        <x:v>28.2</x:v>
      </x:c>
      <x:c r="H119" s="17" t="str">
        <x:v>Yes</x:v>
      </x:c>
      <x:c r="I119" s="17" t="str">
        <x:v>No</x:v>
      </x:c>
      <x:c r="J119" s="17" t="str">
        <x:v>Closed</x:v>
      </x:c>
      <x:c r="K119" s="17" t="str">
        <x:v>L2</x:v>
      </x:c>
    </x:row>
    <x:row r="120">
      <x:c r="A120" s="17" t="str">
        <x:v>T-0119</x:v>
      </x:c>
      <x:c r="B120" s="35" t="d">
        <x:v>2026-03-15T00:00:00.000Z</x:v>
      </x:c>
      <x:c r="C120" s="17" t="str">
        <x:v>Aplikacja mobilna</x:v>
      </x:c>
      <x:c r="D120" s="17" t="str">
        <x:v>E-mail</x:v>
      </x:c>
      <x:c r="E120" s="17" t="str">
        <x:v>P4</x:v>
      </x:c>
      <x:c r="F120" s="17" t="str">
        <x:v>Low</x:v>
      </x:c>
      <x:c r="G120" s="19" t="n">
        <x:v>28.8</x:v>
      </x:c>
      <x:c r="H120" s="17" t="str">
        <x:v>No</x:v>
      </x:c>
      <x:c r="I120" s="17" t="str">
        <x:v>No</x:v>
      </x:c>
      <x:c r="J120" s="17" t="str">
        <x:v>Closed</x:v>
      </x:c>
      <x:c r="K120" s="17" t="str">
        <x:v>L1</x:v>
      </x:c>
    </x:row>
    <x:row r="121">
      <x:c r="A121" s="17" t="str">
        <x:v>T-0120</x:v>
      </x:c>
      <x:c r="B121" s="35" t="d">
        <x:v>2026-04-07T00:00:00.000Z</x:v>
      </x:c>
      <x:c r="C121" s="17" t="str">
        <x:v>Płatności</x:v>
      </x:c>
      <x:c r="D121" s="17" t="str">
        <x:v>Portal</x:v>
      </x:c>
      <x:c r="E121" s="17" t="str">
        <x:v>P3</x:v>
      </x:c>
      <x:c r="F121" s="17" t="str">
        <x:v>Medium</x:v>
      </x:c>
      <x:c r="G121" s="19" t="n">
        <x:v>18</x:v>
      </x:c>
      <x:c r="H121" s="17" t="str">
        <x:v>No</x:v>
      </x:c>
      <x:c r="I121" s="17" t="str">
        <x:v>No</x:v>
      </x:c>
      <x:c r="J121" s="17" t="str">
        <x:v>Closed</x:v>
      </x:c>
      <x:c r="K121" s="17" t="str">
        <x:v>L2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5" hidden="0" customWidth="1"/>
    <x:col min="3" max="3" width="24" hidden="0" customWidth="1"/>
    <x:col min="4" max="4" width="43" hidden="0" customWidth="1"/>
  </x:cols>
  <x:sheetData>
    <x:row r="1" ht="30" customHeight="1">
      <x:c r="A1" s="33" t="str">
        <x:v>Pole</x:v>
      </x:c>
      <x:c r="B1" s="33" t="str">
        <x:v>Znaczenie</x:v>
      </x:c>
      <x:c r="C1" s="33" t="str">
        <x:v>Przykład</x:v>
      </x:c>
      <x:c r="D1" s="33" t="str">
        <x:v>Uwagi</x:v>
      </x:c>
    </x:row>
    <x:row r="2" ht="28" customHeight="1">
      <x:c r="A2" s="37" t="str">
        <x:v>Ticket_ID</x:v>
      </x:c>
      <x:c r="B2" s="37" t="str">
        <x:v>Syntetyczny identyfikator zgłoszenia</x:v>
      </x:c>
      <x:c r="C2" s="37" t="str">
        <x:v>T-0001</x:v>
      </x:c>
      <x:c r="D2" s="37" t="str">
        <x:v>Nie jest ID z prawdziwego systemu</x:v>
      </x:c>
    </x:row>
    <x:row r="3" ht="28" customHeight="1">
      <x:c r="A3" s="37" t="str">
        <x:v>Opened_Date</x:v>
      </x:c>
      <x:c r="B3" s="37" t="str">
        <x:v>Data otwarcia zgłoszenia</x:v>
      </x:c>
      <x:c r="C3" s="37" t="str">
        <x:v>2026-01-04</x:v>
      </x:c>
      <x:c r="D3" s="37" t="str">
        <x:v>Przykładowy okres: styczeń–kwiecień 2026</x:v>
      </x:c>
    </x:row>
    <x:row r="4" ht="28" customHeight="1">
      <x:c r="A4" s="37" t="str">
        <x:v>Category</x:v>
      </x:c>
      <x:c r="B4" s="37" t="str">
        <x:v>Główna kategoria problemu</x:v>
      </x:c>
      <x:c r="C4" s="37" t="str">
        <x:v>Integracja</x:v>
      </x:c>
      <x:c r="D4" s="37" t="str">
        <x:v>Kategorie są fikcyjne</x:v>
      </x:c>
    </x:row>
    <x:row r="5" ht="28" customHeight="1">
      <x:c r="A5" s="37" t="str">
        <x:v>Channel</x:v>
      </x:c>
      <x:c r="B5" s="37" t="str">
        <x:v>Kanał przyjęcia</x:v>
      </x:c>
      <x:c r="C5" s="37" t="str">
        <x:v>E-mail</x:v>
      </x:c>
      <x:c r="D5" s="37" t="str">
        <x:v>Wartość syntetyczna</x:v>
      </x:c>
    </x:row>
    <x:row r="6" ht="28" customHeight="1">
      <x:c r="A6" s="37" t="str">
        <x:v>Priority</x:v>
      </x:c>
      <x:c r="B6" s="37" t="str">
        <x:v>Priorytet obsługi</x:v>
      </x:c>
      <x:c r="C6" s="37" t="str">
        <x:v>P2</x:v>
      </x:c>
      <x:c r="D6" s="37" t="str">
        <x:v>Nie jest powiązany z rzeczywistym SLA</x:v>
      </x:c>
    </x:row>
    <x:row r="7" ht="28" customHeight="1">
      <x:c r="A7" s="37" t="str">
        <x:v>Severity</x:v>
      </x:c>
      <x:c r="B7" s="37" t="str">
        <x:v>Klasyfikacja wpływu</x:v>
      </x:c>
      <x:c r="C7" s="37" t="str">
        <x:v>High</x:v>
      </x:c>
      <x:c r="D7" s="37" t="str">
        <x:v>Definicja demonstracyjna</x:v>
      </x:c>
    </x:row>
    <x:row r="8" ht="28" customHeight="1">
      <x:c r="A8" s="37" t="str">
        <x:v>Resolution_Hours</x:v>
      </x:c>
      <x:c r="B8" s="37" t="str">
        <x:v>Czas rozwiązania w godzinach</x:v>
      </x:c>
      <x:c r="C8" s="37" t="str">
        <x:v>8.5</x:v>
      </x:c>
      <x:c r="D8" s="37" t="str">
        <x:v>Puste dla otwartych zgłoszeń</x:v>
      </x:c>
    </x:row>
    <x:row r="9" ht="28" customHeight="1">
      <x:c r="A9" s="37" t="str">
        <x:v>Escalated</x:v>
      </x:c>
      <x:c r="B9" s="37" t="str">
        <x:v>Czy zgłoszenie eskalowano</x:v>
      </x:c>
      <x:c r="C9" s="37" t="str">
        <x:v>Yes / No</x:v>
      </x:c>
      <x:c r="D9" s="37" t="str">
        <x:v>Etykieta syntetyczna</x:v>
      </x:c>
    </x:row>
    <x:row r="10" ht="28" customHeight="1">
      <x:c r="A10" s="37" t="str">
        <x:v>Repeat_Issue</x:v>
      </x:c>
      <x:c r="B10" s="37" t="str">
        <x:v>Czy problem się powtarzał</x:v>
      </x:c>
      <x:c r="C10" s="37" t="str">
        <x:v>Yes / No</x:v>
      </x:c>
      <x:c r="D10" s="37" t="str">
        <x:v>Etykieta syntetyczna</x:v>
      </x:c>
    </x:row>
    <x:row r="11" ht="28" customHeight="1">
      <x:c r="A11" s="37" t="str">
        <x:v>Status</x:v>
      </x:c>
      <x:c r="B11" s="37" t="str">
        <x:v>Stan rekordu</x:v>
      </x:c>
      <x:c r="C11" s="37" t="str">
        <x:v>Closed / Open</x:v>
      </x:c>
      <x:c r="D11" s="37" t="str">
        <x:v>Otwarte rekordy nie mają czasu rozwiązania</x:v>
      </x:c>
    </x:row>
    <x:row r="12" ht="28" customHeight="1">
      <x:c r="A12" s="37" t="str">
        <x:v>Queue</x:v>
      </x:c>
      <x:c r="B12" s="37" t="str">
        <x:v>Kolejka obsługi</x:v>
      </x:c>
      <x:c r="C12" s="37" t="str">
        <x:v>L2</x:v>
      </x:c>
      <x:c r="D12" s="37" t="str">
        <x:v>Przykładowy podział</x:v>
      </x:c>
    </x:row>
  </x:sheetData>
  <x:pageMargins left="0.7" right="0.7" top="0.75" bottom="0.75" header="0.3" footer="0.3"/>
</x:worksheet>
</file>